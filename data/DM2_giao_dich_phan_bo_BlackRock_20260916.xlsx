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hứng khoán\claude code for tradingview\data\"/>
    </mc:Choice>
  </mc:AlternateContent>
  <xr:revisionPtr revIDLastSave="0" documentId="13_ncr:1_{28F35504-E32D-4067-8BF3-BC5D06B90DE9}" xr6:coauthVersionLast="47" xr6:coauthVersionMax="47" xr10:uidLastSave="{00000000-0000-0000-0000-000000000000}"/>
  <bookViews>
    <workbookView xWindow="-110" yWindow="-110" windowWidth="19420" windowHeight="11500" firstSheet="6" activeTab="7" xr2:uid="{00000000-000D-0000-FFFF-FFFF00000000}"/>
  </bookViews>
  <sheets>
    <sheet name="Giao dich (Transactions)" sheetId="1" r:id="rId1"/>
    <sheet name="Phan bo hien tai (Allocation)" sheetId="2" r:id="rId2"/>
    <sheet name="Tham so phan bo (Constraints)" sheetId="3" r:id="rId3"/>
    <sheet name="Tong ket (Summary)" sheetId="4" r:id="rId4"/>
    <sheet name="Soat DM2 16.09" sheetId="7" r:id="rId5"/>
    <sheet name="Bien ban can cu" sheetId="8" r:id="rId6"/>
    <sheet name="Bieu phi (Fee schedule)" sheetId="5" r:id="rId7"/>
    <sheet name="Su kien &amp; ngoai le (Events)" sheetId="6" r:id="rId8"/>
  </sheets>
  <definedNames>
    <definedName name="_xlnm._FilterDatabase" localSheetId="0" hidden="1">'Giao dich (Transactions)'!$A$4:$P$20</definedName>
  </definedNames>
  <calcPr calcId="191029"/>
</workbook>
</file>

<file path=xl/calcChain.xml><?xml version="1.0" encoding="utf-8"?>
<calcChain xmlns="http://schemas.openxmlformats.org/spreadsheetml/2006/main">
  <c r="F59" i="7" l="1"/>
  <c r="E59" i="7"/>
  <c r="L57" i="7"/>
  <c r="L56" i="7"/>
  <c r="L55" i="7"/>
  <c r="L54" i="7"/>
  <c r="L53" i="7"/>
  <c r="L52" i="7"/>
  <c r="L51" i="7"/>
  <c r="D57" i="7"/>
  <c r="C57" i="7" s="1"/>
  <c r="D56" i="7"/>
  <c r="C56" i="7" s="1"/>
  <c r="D55" i="7"/>
  <c r="C55" i="7" s="1"/>
  <c r="D54" i="7"/>
  <c r="C54" i="7" s="1"/>
  <c r="D53" i="7"/>
  <c r="C53" i="7"/>
  <c r="D52" i="7"/>
  <c r="C52" i="7" s="1"/>
  <c r="D51" i="7"/>
  <c r="C51" i="7"/>
  <c r="L50" i="7"/>
  <c r="C50" i="7"/>
  <c r="D50" i="7"/>
  <c r="B63" i="7"/>
  <c r="B61" i="7"/>
  <c r="J53" i="7"/>
  <c r="J52" i="7"/>
  <c r="J51" i="7"/>
  <c r="J50" i="7"/>
  <c r="A57" i="7"/>
  <c r="A56" i="7"/>
  <c r="A55" i="7"/>
  <c r="A54" i="7"/>
  <c r="A53" i="7"/>
  <c r="A52" i="7"/>
  <c r="A51" i="7"/>
  <c r="E50" i="7"/>
  <c r="A50" i="7"/>
  <c r="D45" i="7"/>
  <c r="C45" i="7"/>
  <c r="B45" i="7"/>
  <c r="A45" i="7"/>
  <c r="D44" i="7"/>
  <c r="C44" i="7"/>
  <c r="B44" i="7"/>
  <c r="A44" i="7"/>
  <c r="D43" i="7"/>
  <c r="C43" i="7"/>
  <c r="B43" i="7"/>
  <c r="A43" i="7"/>
  <c r="D42" i="7"/>
  <c r="C42" i="7"/>
  <c r="B42" i="7"/>
  <c r="A42" i="7"/>
  <c r="B40" i="7"/>
  <c r="B39" i="7"/>
  <c r="B38" i="7"/>
  <c r="B37" i="7"/>
  <c r="B36" i="7"/>
  <c r="B35" i="7"/>
  <c r="B33" i="7"/>
  <c r="L29" i="7"/>
  <c r="K29" i="7"/>
  <c r="J29" i="7"/>
  <c r="F29" i="7"/>
  <c r="E29" i="7"/>
  <c r="H28" i="7"/>
  <c r="E28" i="7"/>
  <c r="F28" i="7" s="1"/>
  <c r="H27" i="7"/>
  <c r="E27" i="7"/>
  <c r="F27" i="7" s="1"/>
  <c r="H26" i="7"/>
  <c r="E26" i="7"/>
  <c r="F26" i="7" s="1"/>
  <c r="H25" i="7"/>
  <c r="E25" i="7"/>
  <c r="F25" i="7" s="1"/>
  <c r="H24" i="7"/>
  <c r="F24" i="7"/>
  <c r="E24" i="7"/>
  <c r="D24" i="7"/>
  <c r="C24" i="7"/>
  <c r="B24" i="7"/>
  <c r="A24" i="7"/>
  <c r="H23" i="7"/>
  <c r="F23" i="7"/>
  <c r="E23" i="7"/>
  <c r="D23" i="7"/>
  <c r="C23" i="7"/>
  <c r="B23" i="7"/>
  <c r="A23" i="7"/>
  <c r="H22" i="7"/>
  <c r="F22" i="7"/>
  <c r="E22" i="7"/>
  <c r="D22" i="7"/>
  <c r="C22" i="7"/>
  <c r="B22" i="7"/>
  <c r="A22" i="7"/>
  <c r="H21" i="7"/>
  <c r="F21" i="7"/>
  <c r="E21" i="7"/>
  <c r="D21" i="7"/>
  <c r="C21" i="7"/>
  <c r="B21" i="7"/>
  <c r="A21" i="7"/>
  <c r="B19" i="7"/>
  <c r="B18" i="7"/>
  <c r="F30" i="7" l="1"/>
  <c r="I24" i="7"/>
  <c r="J24" i="7" s="1"/>
  <c r="K24" i="7" s="1"/>
  <c r="I22" i="7"/>
  <c r="J22" i="7" s="1"/>
  <c r="E30" i="7"/>
  <c r="H50" i="7"/>
  <c r="G50" i="7"/>
  <c r="F50" i="7"/>
  <c r="I27" i="7"/>
  <c r="J27" i="7" s="1"/>
  <c r="K50" i="7"/>
  <c r="I26" i="7"/>
  <c r="J26" i="7" s="1"/>
  <c r="I23" i="7"/>
  <c r="J23" i="7" s="1"/>
  <c r="K23" i="7" s="1"/>
  <c r="I25" i="7"/>
  <c r="J25" i="7" s="1"/>
  <c r="I21" i="7"/>
  <c r="J21" i="7" s="1"/>
  <c r="K21" i="7" s="1"/>
  <c r="L21" i="7" s="1"/>
  <c r="I28" i="7"/>
  <c r="J28" i="7" s="1"/>
  <c r="K22" i="7"/>
  <c r="L24" i="7" l="1"/>
  <c r="L23" i="7"/>
  <c r="K26" i="7"/>
  <c r="K27" i="7"/>
  <c r="L22" i="7"/>
  <c r="K28" i="7"/>
  <c r="J30" i="7"/>
  <c r="K30" i="7" s="1"/>
  <c r="L30" i="7" s="1"/>
  <c r="K25" i="7"/>
  <c r="L25" i="7" l="1"/>
  <c r="E54" i="7"/>
  <c r="L28" i="7"/>
  <c r="E57" i="7"/>
  <c r="L26" i="7"/>
  <c r="E55" i="7"/>
  <c r="E53" i="7"/>
  <c r="K53" i="7"/>
  <c r="E51" i="7"/>
  <c r="K51" i="7"/>
  <c r="B64" i="7"/>
  <c r="L27" i="7"/>
  <c r="E56" i="7"/>
  <c r="E52" i="7"/>
  <c r="K52" i="7"/>
  <c r="F56" i="7" l="1"/>
  <c r="G56" i="7"/>
  <c r="H56" i="7" s="1"/>
  <c r="K58" i="7"/>
  <c r="B67" i="7" s="1"/>
  <c r="F53" i="7"/>
  <c r="G53" i="7"/>
  <c r="G52" i="7"/>
  <c r="F52" i="7"/>
  <c r="H52" i="7" s="1"/>
  <c r="F54" i="7"/>
  <c r="H54" i="7" s="1"/>
  <c r="G54" i="7"/>
  <c r="E58" i="7"/>
  <c r="F51" i="7"/>
  <c r="G51" i="7"/>
  <c r="G55" i="7"/>
  <c r="H55" i="7" s="1"/>
  <c r="F55" i="7"/>
  <c r="F57" i="7"/>
  <c r="H57" i="7" s="1"/>
  <c r="G57" i="7"/>
  <c r="H53" i="7" l="1"/>
  <c r="F58" i="7"/>
  <c r="G58" i="7"/>
  <c r="H51" i="7"/>
  <c r="H58" i="7" s="1"/>
  <c r="B65" i="7" l="1"/>
  <c r="B66" i="7"/>
  <c r="B6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author>
  </authors>
  <commentList>
    <comment ref="B17" authorId="0" shapeId="0" xr:uid="{A2081874-8B3A-46B1-AA7E-58AA2ACAB116}">
      <text>
        <r>
          <rPr>
            <b/>
            <sz val="9"/>
            <color indexed="81"/>
            <rFont val="Segoe UI"/>
            <family val="2"/>
          </rPr>
          <t>AD:</t>
        </r>
        <r>
          <rPr>
            <sz val="9"/>
            <color indexed="81"/>
            <rFont val="Segoe UI"/>
            <family val="2"/>
          </rPr>
          <t xml:space="preserve">
Ô nhập. 0% = giả định đầu tư toàn bộ 8 vị thế. Tham số DM2 không quy định mức tiền mặt mục tiêu — số này là chính sách của người quản lý, không phải số lấy từ dữ liệu.</t>
        </r>
      </text>
    </comment>
    <comment ref="B34" authorId="0" shapeId="0" xr:uid="{C9C6ABCB-97DD-4B73-9C5B-0BB5B7894981}">
      <text>
        <r>
          <rPr>
            <b/>
            <sz val="9"/>
            <color indexed="81"/>
            <rFont val="Segoe UI"/>
            <family val="2"/>
          </rPr>
          <t>AD:</t>
        </r>
        <r>
          <rPr>
            <sz val="9"/>
            <color indexed="81"/>
            <rFont val="Segoe UI"/>
            <family val="2"/>
          </rPr>
          <t xml:space="preserve">
Ô nhập. Chưa có nghĩa vụ tiền nào được khai báo trong sổ tính (không có capital call, rút vốn, nghĩa vụ thuế sắp tới). Không có hệ thống nào đang kết nối cung cấp lịch dòng tiền ra — số này phải do người quản lý điền.</t>
        </r>
      </text>
    </comment>
  </commentList>
</comments>
</file>

<file path=xl/sharedStrings.xml><?xml version="1.0" encoding="utf-8"?>
<sst xmlns="http://schemas.openxmlformats.org/spreadsheetml/2006/main" count="435" uniqueCount="330">
  <si>
    <t>SỔ GIAO DỊCH — DANH MỤC 2 (Trading Ledger — Portfolio 2)</t>
  </si>
  <si>
    <t>Vốn gốc / Initial capital: 60.000.000 đ | Đơn vị: VND | Cập nhật đến 16/09/2026 | Nguồn: data/so_giao_dich.json</t>
  </si>
  <si>
    <t>STT
(No.)</t>
  </si>
  <si>
    <t>Ngày
(Date)</t>
  </si>
  <si>
    <t>Loại GD
(Type)</t>
  </si>
  <si>
    <t>Mã CK
(Ticker)</t>
  </si>
  <si>
    <t>Khối lượng
(Qty)</t>
  </si>
  <si>
    <t>Giá khớp
(Price)</t>
  </si>
  <si>
    <t>Giá trị GD
(Trade Value)</t>
  </si>
  <si>
    <t>Phí dịch vụ
(Service Fee)</t>
  </si>
  <si>
    <t>Thuế TNCN
(Tax)</t>
  </si>
  <si>
    <t>Dòng tiền ròng
(Net Cash Flow)</t>
  </si>
  <si>
    <t>Dư tiền mặt sau GD
(Cash Balance)</t>
  </si>
  <si>
    <t>Lãi/lỗ gộp
(Gross P&amp;L)</t>
  </si>
  <si>
    <t>Lãi/lỗ ròng
(Net P&amp;L)</t>
  </si>
  <si>
    <t>Căn cứ
(Basis/Rule)</t>
  </si>
  <si>
    <t>Ghi chú
(Note)</t>
  </si>
  <si>
    <t>Ngày ghi sổ gốc
(Raw date field)</t>
  </si>
  <si>
    <t>truoc 17/08</t>
  </si>
  <si>
    <t>MUA</t>
  </si>
  <si>
    <t>MSB</t>
  </si>
  <si>
    <t>khung cu</t>
  </si>
  <si>
    <t>ke thua tu khung cu</t>
  </si>
  <si>
    <t>VNM</t>
  </si>
  <si>
    <t>ke thua, gia von suy ra</t>
  </si>
  <si>
    <t>BAF</t>
  </si>
  <si>
    <t>17-19/08</t>
  </si>
  <si>
    <t>BSR</t>
  </si>
  <si>
    <t>bang lenh 17/08</t>
  </si>
  <si>
    <t>ke hoach 26.000, khop cao hon 1.000</t>
  </si>
  <si>
    <t>GMD</t>
  </si>
  <si>
    <t>khop dung ke hoach</t>
  </si>
  <si>
    <t>LPB</t>
  </si>
  <si>
    <t>ke hoach 50.900</t>
  </si>
  <si>
    <t>STB</t>
  </si>
  <si>
    <t>VHM</t>
  </si>
  <si>
    <t>ke hoach 68.200, khop cao hon 800</t>
  </si>
  <si>
    <t>2026-08-19</t>
  </si>
  <si>
    <t>BAN</t>
  </si>
  <si>
    <t>quy tac thoat 1</t>
  </si>
  <si>
    <t>MA50 &lt; MA200</t>
  </si>
  <si>
    <t>quy tac thoat 2</t>
  </si>
  <si>
    <t>RS 12T thua VNINDEX</t>
  </si>
  <si>
    <t>2026-09-03</t>
  </si>
  <si>
    <t>DHC</t>
  </si>
  <si>
    <t>ky soat 09</t>
  </si>
  <si>
    <t>ke hoach 36.900, khop thap hon 300</t>
  </si>
  <si>
    <t>quy tac thoat 3</t>
  </si>
  <si>
    <t>rot khoi top 40%</t>
  </si>
  <si>
    <t>2026-09-07</t>
  </si>
  <si>
    <t>LENH NGOAI LUAT #1</t>
  </si>
  <si>
    <t>chot lai mot phan</t>
  </si>
  <si>
    <t>2026-09-14</t>
  </si>
  <si>
    <t>quy tac thoat 4</t>
  </si>
  <si>
    <t>luan diem gay, phieu 1/6</t>
  </si>
  <si>
    <t>2026-09-16</t>
  </si>
  <si>
    <t>QUY_TAC_5 (ban theo cam quan thi truong cua quy)</t>
  </si>
  <si>
    <t>Ban 50% vi the (100/200 CP) - dung tran 50%. GHI SAU KHI DA KHOP, khong dung thu tu QUY_TAC_5 doi hoi (ghi TRUOC lenh) - le sai quy trinh, ghi lai trung thuc. cam_quan: lo ngai chung ve thi truong/nhom nganh dau khi, khong rieng ve ban than BSR. Chi tiet: LENH_QUY_TAC_5 so 1 trong lt_config.py.</t>
  </si>
  <si>
    <t>TỔNG (Total)</t>
  </si>
  <si>
    <t>PHÂN BỔ DANH MỤC HIỆN TẠI — DANH MỤC 2 (Current Portfolio Allocation)</t>
  </si>
  <si>
    <t>Tại ngày 16/09/2026 (giá MIXED: BSR theo giá khớp 16/09, MSB/VHM/DHC theo giá 15/09) | NAV dựng lại: 60,888,122 đ | Nguồn: data/so_giao_dich.json + lt_config_backup_20260916.py</t>
  </si>
  <si>
    <t>Ngành
(Sector)</t>
  </si>
  <si>
    <t>Giá vốn BQ
(Avg Cost)</t>
  </si>
  <si>
    <t>Giá trị vốn
(Cost Value)</t>
  </si>
  <si>
    <t>Giá hiện tại
(Market Price)</t>
  </si>
  <si>
    <t>Giá trị thị trường
(Market Value)</t>
  </si>
  <si>
    <t>% NAV
(Weight)</t>
  </si>
  <si>
    <t>% Lãi/lỗ ròng
(Net Return)</t>
  </si>
  <si>
    <t>Dau khi</t>
  </si>
  <si>
    <t>Con 100/200 CP sau khi ban 100 theo QUY_TAC_5 ngay 16/09. Gia moi nhat 16/09, khac ngay voi ba vi the con lai (van 15/09) - can dinh gia lai dong bo o ky soat ke tiep.</t>
  </si>
  <si>
    <t>Giay</t>
  </si>
  <si>
    <t>Ngan hang</t>
  </si>
  <si>
    <t>Bat dong san</t>
  </si>
  <si>
    <t>TIỀN MẶT (Cash)</t>
  </si>
  <si>
    <t>TỔNG NAV (Total NAV)</t>
  </si>
  <si>
    <t>PHÂN BỔ THEO NGÀNH (Sector Allocation)</t>
  </si>
  <si>
    <t>Ngành (Sector)</t>
  </si>
  <si>
    <t>Giá trị (Value)</t>
  </si>
  <si>
    <t>% NAV</t>
  </si>
  <si>
    <t>Trần ngành DM2 (Sector cap)</t>
  </si>
  <si>
    <t>Còn dư (Headroom)</t>
  </si>
  <si>
    <t>THAM SỐ &amp; RÀNG BUỘC PHÂN BỔ — DANH MỤC 2 (Allocation Parameters &amp; Constraints)</t>
  </si>
  <si>
    <t>Nguồn: data/lt_config_backup_20260916.py — PORTFOLIOS['DM2'], LOC, NGANH</t>
  </si>
  <si>
    <t>Tham số (Parameter)</t>
  </si>
  <si>
    <t>Tên danh mục (Portfolio name)</t>
  </si>
  <si>
    <t>Danh mục 2 — tài khoản dự thi (Contest account)</t>
  </si>
  <si>
    <t>Vốn ban đầu (Initial capital)</t>
  </si>
  <si>
    <t>NAV hiện tại, dựng lại (Current NAV, rebuilt)</t>
  </si>
  <si>
    <t>Số vị thế mục tiêu (Target # positions)</t>
  </si>
  <si>
    <t>Số vị thế hiện tại (Current # positions)</t>
  </si>
  <si>
    <t>Trần 1 mã / NAV (Single-name cap)</t>
  </si>
  <si>
    <t>Trần 1 ngành / NAV (Sector cap)</t>
  </si>
  <si>
    <t>Ticket tối thiểu / lệnh (Min ticket size)</t>
  </si>
  <si>
    <t>Thanh khoản tối thiểu (Min 20-day avg liquidity)</t>
  </si>
  <si>
    <t>Bộ lọc cứng (Hard filters)</t>
  </si>
  <si>
    <t>Close &gt; MA200; MA50 &gt; MA200; RS 12T &gt; VNINDEX; ATR ≤ 6,0%</t>
  </si>
  <si>
    <t>Phương pháp xếp hạng (Ranking method)</t>
  </si>
  <si>
    <t>RS đa khung: 40% RS252(skip21) + 30% RS126 + 20% RS63 + 10% Trend R²</t>
  </si>
  <si>
    <t>Phương pháp phân bổ (Sizing method)</t>
  </si>
  <si>
    <t>Risk parity xấp xỉ 1/ATR, có trần mã &amp; trần ngành</t>
  </si>
  <si>
    <t>Tần suất soát danh mục (Rebalance frequency)</t>
  </si>
  <si>
    <t>Đầu mỗi tháng + kỳ bổ sung 21/09/2026 (giai đoạn 2 cuộc thi)</t>
  </si>
  <si>
    <t>Quy tắc bán tùy nghi (Discretionary sell rule)</t>
  </si>
  <si>
    <t>QUY_TAC_5: tối đa 50% vị thế/lần, hiệu lực tới kỳ soát kế tiếp, phải ghi trước khi đặt lệnh</t>
  </si>
  <si>
    <t>TÓM TẮT HIỆU QUẢ ĐẦU TƯ — DANH MỤC 2 (Performance Summary)</t>
  </si>
  <si>
    <t>Nguồn: data/so_giao_dich.json — tong_ket</t>
  </si>
  <si>
    <t>Chỉ tiêu (Metric)</t>
  </si>
  <si>
    <t>Số lượt lệnh (Total orders)</t>
  </si>
  <si>
    <t>Số lệnh mua (Buy orders)</t>
  </si>
  <si>
    <t>Số lệnh bán (Sell orders)</t>
  </si>
  <si>
    <t>Tổng giá trị giao dịch (Total trade value)</t>
  </si>
  <si>
    <t>Tổng phí dịch vụ (Total service fee)</t>
  </si>
  <si>
    <t xml:space="preserve">  — Phí mua (Buy fee)</t>
  </si>
  <si>
    <t xml:space="preserve">  — Phí bán (Sell fee)</t>
  </si>
  <si>
    <t>Tổng thuế TNCN (Total tax on sells)</t>
  </si>
  <si>
    <t>Tổng chi phí giao dịch (Total transaction cost)</t>
  </si>
  <si>
    <t>Chi phí / vốn gốc (Cost as % of capital)</t>
  </si>
  <si>
    <t>Lãi/lỗ đã thực hiện, gộp (Realized P&amp;L, gross)</t>
  </si>
  <si>
    <t>Lãi/lỗ đã thực hiện, ròng (Realized P&amp;L, net)</t>
  </si>
  <si>
    <t>Lãi/lỗ chưa thực hiện, ròng (Unrealized P&amp;L, net)</t>
  </si>
  <si>
    <t>Giá trị cổ phiếu (Equity value)</t>
  </si>
  <si>
    <t>Tiền mặt (Cash)</t>
  </si>
  <si>
    <t>NAV dựng lại từ sổ (NAV rebuilt from ledger)</t>
  </si>
  <si>
    <t>NAV theo sao kê (NAV per statement, 15/09)</t>
  </si>
  <si>
    <t>Tổng lợi nhuận ròng / vốn gốc (Total net return)</t>
  </si>
  <si>
    <t>Ghi chú đối chiếu (Reconciliation note):</t>
  </si>
  <si>
    <t>NAV dựng lại 60.888.122 đ dùng giá MIXED NGÀY (BSR theo giá khớp bán 16/09, ba mã còn lại theo giá 15/09) nên chưa so sánh trực tiếp được với sao kê 15/09 (60.444.027 đ, lệch 271 đ / 0,00045%, nghi ngờ do lãi tiền gửi hoặc làm tròn CTCK). Cần sao kê mới đồng ngày để đóng lại chênh lệch.</t>
  </si>
  <si>
    <t>BIỂU PHÍ ÁP DỤNG — DANH MỤC 2 (Fee Schedule)</t>
  </si>
  <si>
    <t>Sửa 15/09/2026, áp dụng hồi tố cho toàn bộ lịch sử từ vốn gốc | Nguồn: data/so_giao_dich.json</t>
  </si>
  <si>
    <t>Loại phí (Fee type)</t>
  </si>
  <si>
    <t>Biểu phí ĐÚNG hiện hành (Current, correct)</t>
  </si>
  <si>
    <t>Biểu phí CŨ đã bỏ (Old, deprecated)</t>
  </si>
  <si>
    <t>Phí dịch vụ (2 chiều mua &amp; bán) (Service fee, both ways)</t>
  </si>
  <si>
    <t>Thuế TNCN (chỉ khi bán) (Tax, sell only)</t>
  </si>
  <si>
    <t>Phí lưu ký VSD (theo thời gian nắm giữ) (Custody fee, per share/month)</t>
  </si>
  <si>
    <t>0.3 đ/CP/tháng</t>
  </si>
  <si>
    <t>—</t>
  </si>
  <si>
    <t>So sánh tổng chi phí 15 lệnh đầu (Cost comparison, first 15 orders):</t>
  </si>
  <si>
    <t>Chi phí theo biểu phí đúng (Cost, correct schedule)</t>
  </si>
  <si>
    <t>Chi phí theo biểu phí cũ (Cost, old schedule)</t>
  </si>
  <si>
    <t>Tiết kiệm được (Savings)</t>
  </si>
  <si>
    <t>PHÍ LƯU KÝ THEO THÁNG (Custody fee by month)</t>
  </si>
  <si>
    <t>Tháng (Month)</t>
  </si>
  <si>
    <t>Số CP cuối tháng (Shares held EOM)</t>
  </si>
  <si>
    <t>Phí (Fee)</t>
  </si>
  <si>
    <t>08/2026</t>
  </si>
  <si>
    <t>09/2026</t>
  </si>
  <si>
    <t>Cộng (Total)</t>
  </si>
  <si>
    <t>SỰ KIỆN ĐẶC BIỆT &amp; LỆNH NGOÀI LUẬT — DANH MỤC 2 (Corporate Actions &amp; Discretionary Exceptions)</t>
  </si>
  <si>
    <t>Nguồn: data/so_giao_dich.json + data/lt_config_backup_20260916.py</t>
  </si>
  <si>
    <t>1. SỰ KIỆN CỔ TỨC / QUYỀN (Corporate Actions)</t>
  </si>
  <si>
    <t>Ngày (Date)</t>
  </si>
  <si>
    <t>Mã (Ticker)</t>
  </si>
  <si>
    <t>Sự kiện (Event)</t>
  </si>
  <si>
    <t>Trước (Before)</t>
  </si>
  <si>
    <t>Sau (After)</t>
  </si>
  <si>
    <t>2026-08-28</t>
  </si>
  <si>
    <t>Chia co tuc bang CO PHIEU 100:20, GDKHQ 28/08/2026</t>
  </si>
  <si>
    <t>700 CP @ 16,000 đ</t>
  </si>
  <si>
    <t>840 CP @ 13,333 đ</t>
  </si>
  <si>
    <t>Cảnh báo: 140 CP thuong ve TK sau ~4-6 tuan. Tinh den 15/09 CHUA XAC NHAN da ve — neu chua, lenh ban MSB chi khop duoc 700 CP.</t>
  </si>
  <si>
    <t>2. LỆNH KHÔNG KHỚP (Unmatched Orders)</t>
  </si>
  <si>
    <t>Kế hoạch (Plan)</t>
  </si>
  <si>
    <t>Kết quả (Result)</t>
  </si>
  <si>
    <t>Ghi chú (Note)</t>
  </si>
  <si>
    <t>2026-08-20</t>
  </si>
  <si>
    <t>VPI</t>
  </si>
  <si>
    <t>MUA 100 VPI gia toi da 63.000</t>
  </si>
  <si>
    <t>KHONG KHOP</t>
  </si>
  <si>
    <t>Ke hoach 19/08 co nhanh bat buoc 'qua 21/08 chua khop -&gt; mua gia thi truong'. Nhanh do DA KHONG duoc thuc hien. Lech so voi ke hoach da chot, khong phai lenh cho. User xac nhan 25/08/2026.</t>
  </si>
  <si>
    <t>3. LỆNH NGOÀI LUẬT / QUY TẮC TÙY NGHI (Discretionary / Out-of-System Orders)</t>
  </si>
  <si>
    <t>Loại (Type)</t>
  </si>
  <si>
    <t>Nội dung (Description)</t>
  </si>
  <si>
    <t>LỆNH NGOÀI LUẬT #1</t>
  </si>
  <si>
    <t>Bán 50/100 VHM @77.700 theo yêu cầu người góp vốn (không thuộc 4 quy tắc hệ thống)</t>
  </si>
  <si>
    <t>QUY_TẮC_5 #1</t>
  </si>
  <si>
    <t>Bán 100/200 BSR @31.300 — bán theo cảm quan thị trường của quỹ (lo ngại nhóm ngành dầu khí), trần 50% vị thế</t>
  </si>
  <si>
    <t>SOÁT DANH MỤC &amp; CHUẨN BỊ TÁI CÂN BẰNG — DANH MỤC 2 (Portfolio Rebalance Review)</t>
  </si>
  <si>
    <t>Tại ngày 16/09/2026 | Nguồn: chính sổ tính này (Giao dich / Phan bo hien tai / Tham so phan bo / Tong ket / Bieu phi / Su kien). Không có connector danh mục (Orion / Addepar / Tamarac) hay BlackRock Advisor Center trong phiên — đây là chỗ sẽ gọi ra hệ thống đó khi connector được dựng.</t>
  </si>
  <si>
    <t>BẢN NHÁP ĐỂ NGƯỜI RA QUYẾT ĐỊNH CÂN NHẮC — không phải khuyến nghị đầu tư, không phải lệnh đã đặt.</t>
  </si>
  <si>
    <t>1. CỔNG KIỂM TRA DỮ LIỆU (Data-sanity gate) — Kết luận: FLAGS (tiếp tục kèm cảnh báo), không BLOCKING</t>
  </si>
  <si>
    <t>Chốt (Check)</t>
  </si>
  <si>
    <t>Phát hiện (Finding)</t>
  </si>
  <si>
    <t>Ảnh hưởng tới (Contaminates)</t>
  </si>
  <si>
    <t>Mức</t>
  </si>
  <si>
    <t>Đối chiếu nội bộ</t>
  </si>
  <si>
    <t>Giá trị CK 24.964.000 + tiền 35.924.122 = 60.888.122 đ, trùng NAV dựng lại; các % NAV cộng đủ 100%</t>
  </si>
  <si>
    <t>— (đã sạch)</t>
  </si>
  <si>
    <t>PASS</t>
  </si>
  <si>
    <t>Đối chiếu với sao kê</t>
  </si>
  <si>
    <t>Ghi chú trên sheet Tong ket nói lệch 271 đ / 0,00045%, nhưng hai số NAV nêu trên sheet lệch 444.095 đ (0,73%). Không dựng lại được số 271 đ từ dữ liệu có sẵn.</t>
  </si>
  <si>
    <t>Độ tin của mọi % NAV khi so với sao kê; mẫu số NAV của bảng lệch chuẩn</t>
  </si>
  <si>
    <t>FLAG</t>
  </si>
  <si>
    <t>Tổng cộng (Aggregation)</t>
  </si>
  <si>
    <t>Ô tổng cột "Giá trị vốn" trên sheet Phan bo hien tai ghi 24.964.000 đ — đó là giá trị THỊ TRƯỜNG. Tổng giá vốn thực của 4 vị thế = 24.670.000 đ.</t>
  </si>
  <si>
    <t>Mọi phép tính lãi/lỗ theo giá vốn, tỷ suất trên vốn</t>
  </si>
  <si>
    <t>Đầy đủ (Completeness)</t>
  </si>
  <si>
    <t>(a) Phí lưu ký 819 đ không nằm trong "Tổng chi phí giao dịch 130.878 đ". (b) 140 CP thưởng MSB chưa xác nhận về TK (≈1,8 tr, 3% NAV) — nếu chưa về, lệnh bán MSB chỉ khớp 700 CP.</t>
  </si>
  <si>
    <t>Tổng chi phí thực; khối lượng MSB khả bán trong bảng lệnh</t>
  </si>
  <si>
    <t>Cũ/mới (Staleness)</t>
  </si>
  <si>
    <t>BSR định giá theo giá khớp 16/09; DHC, MSB, VHM theo giá 15/09 — không đồng ngày</t>
  </si>
  <si>
    <t>So sánh % NAV giữa các vị thế; giá trị lệch tính bằng tiền</t>
  </si>
  <si>
    <t>Thời gian (Temporal)</t>
  </si>
  <si>
    <t>Không có vị thế nào có ngày định giá trước ngày mua</t>
  </si>
  <si>
    <t>Độ lớn (Magnitude)</t>
  </si>
  <si>
    <t>Lãi/lỗ lớn nhất là BSR +15,8% ròng — hợp lý với thời gian nắm giữ; không có mức bất thường</t>
  </si>
  <si>
    <t>Trùng lặp (Duplication)</t>
  </si>
  <si>
    <t>Mỗi mã xuất hiện một lần; không có tài khoản ngoài hệ thống được khai báo (chưa xác nhận — xem câu hỏi ở phần 5)</t>
  </si>
  <si>
    <t>2. BẢNG LỆCH CHUẨN — mốc so sánh: risk parity xấp xỉ 1/ATR, có trần mã, trên 8 vị thế mục tiêu</t>
  </si>
  <si>
    <t>Tiền mặt mục tiêu % NAV (input)</t>
  </si>
  <si>
    <t>NAV làm mẫu số (đ)</t>
  </si>
  <si>
    <t>Trần 1 mã / NAV</t>
  </si>
  <si>
    <t>Mã</t>
  </si>
  <si>
    <t>Ngành</t>
  </si>
  <si>
    <t>KL hiện tại</t>
  </si>
  <si>
    <t>Giá hiện tại</t>
  </si>
  <si>
    <t>Giá trị TT (đ)</t>
  </si>
  <si>
    <t>% NAV hiện tại</t>
  </si>
  <si>
    <t>ATR % (input)</t>
  </si>
  <si>
    <t>1/ATR</t>
  </si>
  <si>
    <t>Target thô %</t>
  </si>
  <si>
    <t>Target sau trần %</t>
  </si>
  <si>
    <t>Lệch (hiện tại − target)</t>
  </si>
  <si>
    <t>Giá trị lệch (đ)</t>
  </si>
  <si>
    <t>Ghi chú</t>
  </si>
  <si>
    <t>Đã bán 100/200 CP theo QUY_TAC_5 ngày 16/09. Quy tắc có hiệu lực tới kỳ soát kế tiếp — không mua lại trong kỳ này. Giá 16/09, lệch ngày với ba mã còn lại.</t>
  </si>
  <si>
    <t>Mua 03/09, lãi ròng +1,8%. Giá 15/09.</t>
  </si>
  <si>
    <t>Vị thế lớn nhất (sát trần 20% hơn cả), lỗ ròng −3,7%. Trong 840 CP có 140 CP thưởng CHƯA XÁC NHẬN về TK — khối lượng khả bán có thể chỉ 700 CP.</t>
  </si>
  <si>
    <t>Còn 50/100 CP sau LỆNH NGOÀI LUẬT #1 (07/09, yêu cầu người góp vốn). Giá 15/09.</t>
  </si>
  <si>
    <t>Ứng viên 1 (input)</t>
  </si>
  <si>
    <t>Slot trống. Cần mã qua được bộ lọc cứng (Close&gt;MA200; MA50&gt;MA200; RS 12T&gt;VNINDEX; ATR≤6,0%) và thanh khoản ≥10 tỷ/20 phiên — số liệu xếp hạng RS không có trong sổ tính này.</t>
  </si>
  <si>
    <t>Ứng viên 2 (input)</t>
  </si>
  <si>
    <t>Ứng viên 3 (input)</t>
  </si>
  <si>
    <t>Ứng viên 4 (input)</t>
  </si>
  <si>
    <t>Lệch lớn nhất của danh mục. 4/8 slot trống nên tiền đọng.</t>
  </si>
  <si>
    <t>TỔNG</t>
  </si>
  <si>
    <t>Cột J chỉ cộng đủ 100% khi đã nhập ATR cho cả 8 mã. Nếu một mã bị cắt theo trần 20%, phần vượt KHÔNG được phân bổ lại tự động — cần tăng thủ công.</t>
  </si>
  <si>
    <t>3. TIỀN KHẢ DỤNG, TRẦN NGÀNH &amp; RÀNG BUỘC THỰC THI</t>
  </si>
  <si>
    <t>Tiền mặt hiện có (đ)</t>
  </si>
  <si>
    <t>Tiền muốn giữ lại (input, đ)</t>
  </si>
  <si>
    <t>Tiền khả dụng để mua (đ)</t>
  </si>
  <si>
    <t>Ticket tối thiểu / lệnh (đ)</t>
  </si>
  <si>
    <t>Số slot còn trống (mục tiêu − hiện tại)</t>
  </si>
  <si>
    <t>Ticket bình quân nếu lấp đủ slot (đ)</t>
  </si>
  <si>
    <t>Số lệnh tối đa theo ticket tối thiểu</t>
  </si>
  <si>
    <t>Trần 1 ngành / NAV</t>
  </si>
  <si>
    <t>Còn dư (% NAV)</t>
  </si>
  <si>
    <t>Còn dư (đ)</t>
  </si>
  <si>
    <t>Kiểm tra tính khả thi đặt lệnh: lô chẵn 100 CP (HOSE/HNX) — KL đề xuất ở phần 4 đã làm tròn về lô 100. Cần tự xác nhận thanh khoản ≥10 tỷ đ/20 phiên và độ rộng spread tại thời điểm đặt.</t>
  </si>
  <si>
    <t>4. BẢNG LỰA CHỌN LỆNH TÁI CÂN BẰNG — bản nháp để cân nhắc, không phải lệnh đã đặt</t>
  </si>
  <si>
    <t>Được GD trong kỳ? (Y/N)</t>
  </si>
  <si>
    <t>Hành động</t>
  </si>
  <si>
    <t>KL đề xuất (lô 100)</t>
  </si>
  <si>
    <t>Giá trị lệnh (đ)</t>
  </si>
  <si>
    <t>Phí dịch vụ</t>
  </si>
  <si>
    <t>Thuế TNCN</t>
  </si>
  <si>
    <t>Tổng chi phí</t>
  </si>
  <si>
    <t>Căn cứ / ràng buộc</t>
  </si>
  <si>
    <t>N</t>
  </si>
  <si>
    <t>QUY_TAC_5 #1 đã dùng ngày 16/09 (bán 100/200 CP, đúng trần 50%), hiệu lực tới kỳ soát kế tiếp → để N. Ngoài lệ: lệnh này được ghi SAU khi khớp, trái thứ tự quy tắc đòi hỏi (ghi trước khi đặt) — lỗi quy trình đã được ghi nhận trung thực trong sổ.</t>
  </si>
  <si>
    <t>Y</t>
  </si>
  <si>
    <t>Không vướng quy tắc nào. Nếu risk parity cho target &gt; 12,3% hiện tại thì mua thêm; ticket phải ≥ 5 tr.</t>
  </si>
  <si>
    <t>CẢNH BÁO KL: nếu là lệnh BÁN, chỉ chắc chắn khớp được 700 CP — 140 CP thưởng chưa xác nhận về TK (GDKHQ 28/08, thường về sau 4–6 tuần). Kiểm tra số dư TK trước khi đặt. Vi thế sát trần 20% nhất (17,7%) — mua thêm dễ vượt trần.</t>
  </si>
  <si>
    <t>Còn 50/100 CP sau LỆNH NGOÀI LUẬT #1 (07/09) theo yêu cầu người góp vốn — lệnh đó không thuộc 4 quy tắc hệ thống. Nếu định mua lại lên target, cần xác nhận lại với người góp vốn.</t>
  </si>
  <si>
    <t>Slot trống. Cần: mã + giá + ATR ở phần 2. Phải qua bộ lọc cứng và ticket ≥ 5 tr; kiểm tra trần ngành ở phần 3 trước khi chọn.</t>
  </si>
  <si>
    <t>Slot trống — như trên.</t>
  </si>
  <si>
    <t>Giá vốn BQ</t>
  </si>
  <si>
    <t>Lãi/lỗ thực hiện ước tính (nếu bán)</t>
  </si>
  <si>
    <t>5. TRƯỜC / SAU &amp; CÂU HỎI CÒN TREO</t>
  </si>
  <si>
    <t>Tiền mặt % NAV — trước</t>
  </si>
  <si>
    <t>Tiền mặt % NAV — sau (nếu thực hiện bảng phần 4)</t>
  </si>
  <si>
    <t>Số vị thế — trước</t>
  </si>
  <si>
    <t>Số vị thế — sau</t>
  </si>
  <si>
    <t>Tổng chi phí giao dịch ước tính (đ)</t>
  </si>
  <si>
    <t>Chi phí / NAV</t>
  </si>
  <si>
    <t>Lãi/lỗ thực hiện ước tính (đ)</t>
  </si>
  <si>
    <t>Câu hỏi cần người quản lý trả lời để bảng trên chạy đầy đủ (Open items)</t>
  </si>
  <si>
    <t>1. ATR hiện tại (%) của BSR, DHC, MSB, VHM và của các ứng viên — sổ tính này không có số ATR, mà sizing risk parity 1/ATR phụ thuộc hoàn toàn vào đó. Tôi không tự điền số này.</t>
  </si>
  <si>
    <t>2. Danh sách mã qua bộ lọc cứng và xếp hạng RS đa khung cho kỳ này — dữ liệu RS/MA/thanh khoản không nằm trong sổ tính, nên 4 slot trống đang để ngỏ.</t>
  </si>
  <si>
    <t>3. Có tài khoản / danh mục nào khác ngoài DM2 không (ví dụ DM1, tài khoản khác)? Cần biết để kiểm tra trùng exposure và bức tranh phân bổ tổng thể — không có connector nào thấy được tài khoản ngoài.</t>
  </si>
  <si>
    <t>4. Mức tiền mặt mục tiêu là bao nhiêu? Tham số DM2 không quy định — tôi để tạm 0% ở ô B17 (ô nhập), không phải số lấy từ dữ liệu.</t>
  </si>
  <si>
    <t>5. Sao kê đồng ngày 16/09 để đóng chên lệch 444.095 đ (0,73%) giữa NAV dựng lại và sao kê 15/09, và để kiểm chứng lại con số "lệch 271 đ" ghi trong sheet Tong ket.</t>
  </si>
  <si>
    <t>6. 140 CP thưởng MSB đã về tài khoản chưa? Ảnh hưởng trực tiếp tới khối lượng MSB khả bán và tới % NAV đang ghi 17,7%.</t>
  </si>
  <si>
    <t>7. Kỳ soát: tham số ghi đầu mỗi tháng + kỳ bổ sung 21/09/2026. Giải ngân ngay hôm nay hay chờ kỳ 21/09?</t>
  </si>
  <si>
    <t>8. Tiền bán BSR ngày 16/09 (3.124.366 đ) theo chu kỳ thanh toán T+2 thì chưa về để mua — sức mua thực tế hôm nay thấp hơn số 35.924.122 đ. Cần xác nhận sức mua trên app CTCK trước khi đặt lệnh.</t>
  </si>
  <si>
    <t>Lưu ý phạm vi: không áp dụng kiểm tra wash-sale kiểu Mỹ — thuế CK cá nhân Việt Nam là 0,1% trên giá trị bán, không phân biệt lãi/lỗ và không có cửa sổ 30 ngày. Đối chiếu chéo tài khoản chỉ phủ được DM2 — không tài khoản nào khác được cung cấp.</t>
  </si>
  <si>
    <t>BIÊN BẢN CĂN CỨ TÁI CÂN BẰNG (Rebalance Rationale Memo)</t>
  </si>
  <si>
    <t>Danh mục: Danh mục 2 — tài khoản dự thi | Ngày: 16/09/2026 | Người quản lý: [điền] | Soạn bởi: Claude (bản nháp — người quản lý rà soát)</t>
  </si>
  <si>
    <t>1. MỤC TIÊU &amp; THAM CHIẾU CHÍNH SÁCH</t>
  </si>
  <si>
    <t>Không có IPS rời. Văn bản chính sách là sheet "Tham so phan bo (Constraints)", dẫn từ lt_config_backup_20260916.py: 8 vị thế mục tiêu; trần 20%/mã; trần 40%/ngành; ticket tối thiểu 5.000.000 đ; thanh khoản tối thiểu 10 tỷ đ/20 phiên; bộ lọc cứng Close&gt;MA200, MA50&gt;MA200, RS 12T&gt;VNINDEX, ATR≤6,0%; sizing risk parity xấp xỉ 1/ATR; tần suất soát đầu mỗi tháng + kỳ bổ sung 21/09/2026.</t>
  </si>
  <si>
    <t>Chính sách KHÔNG quy định: tỷ trọng mục tiêu điểm cho từng mã, biên dung sai (band) quanh mục tiêu, mức tiền mặt mục tiêu, và ngày rà soát lại chính sách. Bảng lệch chuẩn vì vậy dụng target từ 1/ATR theo phương pháp sizing đã ghi, do người quản lý chọn làm mốc — không phải một mục tiêu có sẵn trong hồ sơ.</t>
  </si>
  <si>
    <t>2. LÝ DO PHÁT SINH RÀ SOÁT</t>
  </si>
  <si>
    <t>[x] Lệch phân bổ: 4/8 vị thế, tiền mặt 59,0% NAV (35.924.122 đ) — đây là độ lệch lớn nhất, không phải lệch giữa các ngành. Nguyên nhân: 7 lệnh bán từ 19/08 đến 16/09 (4 theo quy tắc thoát, 1 lệnh ngoài luật theo yêu cầu người góp vốn, 1 theo QUY_TAC_5) mà chưa tái giải ngân.</t>
  </si>
  <si>
    <t>[x] Tiền cần giải ngân: room mua ~30 tr nếu lấp đủ 4 slot ở mức ticket tối thiểu; 7 lệnh nếu chia theo ticket tối thiểu.</t>
  </si>
  <si>
    <t>[ ] Trần bị vi phạm: KHÔNG. Trần mã 20% — sát nhất là MSB 17,7%. Trần ngành 40% — cao nhất là Ngân hàng 17,7%. Không có vị thế nào vượt trần.</t>
  </si>
  <si>
    <t>[ ] Thu đầu tư lỗ để giảm thuế: không áp dụng — thuế CK cá nhân Việt Nam 0,1% tính trên giá trị bán bất kể lãi hay lỗ, nên bán lỗ không tạo lợi ích thuế.</t>
  </si>
  <si>
    <t>3. CÁC ĐIỀU CHỈNH &amp; CĂN CỨ TẮNG CÁI</t>
  </si>
  <si>
    <t>Bảng lệnh chi tiết nằm ở sheet "Soat DM2 16.09" phần 4 (A48:K58) và tự tính lại khi nhập ATR. Trạng thái hiện tại: CHƯA có khối lượng nào được đề xuất, vì thiếu ATR và thiếu danh sách ứng viên qua bộ lọc. Căn cứ từng mã đã ghi ở cột I của bảng đó.</t>
  </si>
  <si>
    <t>BSR — để "không giao dịch trong kỳ": QUY_TAC_5 #1 đã dùng ngày 16/09 (bán 100/200 CP, đúng trần 50% vị thế), hiệu lực tới kỳ soát kế tiếp. Căn cứ bán là cảm quan về nhóm ngành dầu khí, không phải luận điểm riêng về BSR. Mua lại trong cùng kỳ sẽ phủ định chính căn cứ đó.</t>
  </si>
  <si>
    <t>MSB — vị thế lớn nhất, lỗ ròng −3,7%, sát trần 20% hơn cả. Khối lượng khả bán có thể chỉ 700 CP thay vì 840 CP vì 140 CP thưởng (GDKHQ 28/08, tỷ lệ 100:20) chưa xác nhận về tài khoản. Chưa đề xuất điều chỉnh khi chưa xác nhận số dư.</t>
  </si>
  <si>
    <t>VHM — còn 50/100 CP sau LỆNH NGOÀI LUẬT #1 ngày 07/09 theo yêu cầu người góp vốn. Nếu risk parity đỏi hỏi mua lại lên target thì đó là việc đảo một quyết định do người góp vốn đưa ra — cần hỏi lại trước khi đặt.</t>
  </si>
  <si>
    <t>4 slot trống — chưa đề xuất mã nào. Dữ liệu RS đa khung, MA và thanh khoản 20 phiên không nằm trong sổ tính, nên không chọn được mã mà không bịa. Đây là khoảng trống dữ liệu, không phải kết luận rằng không có mã nào đủ điều kiện.</t>
  </si>
  <si>
    <t>4. CHI PHÍ &amp; THUẾ ĐÃ CÂN NHẮC</t>
  </si>
  <si>
    <t>Biểu phí áp dụng: phí dịch vụ 0,08% hai chiều; thuế TNCN 0,10% chỉ khi bán; phí lưu ký VSD 0,3 đ/CP/tháng. Một kịch bản CHỈ MUA giải ngân ~30 tr phát sinh phí khoảng 24.000 đ (0,04% NAV) và không phát sinh thuế — rất nhỏ so với chi phí cơ hội của việc để 59% NAV bằng tiền mặt.</t>
  </si>
  <si>
    <t>Ưu tiên dùng tiền mặt sẵn có thay vì bán vị thế đang nắm: vừa tránh phí bán 0,08% và thuế 0,1%, vừa không đảo các quyết định đã ghi trong sổ (QUY_TAC_5 với BSR, lệnh ngoài luật với VHM).</t>
  </si>
  <si>
    <t>Kiểm tra wash-sale: không áp dụng ở Việt Nam (thuế 0,1% trên giá trị bán, không phân biệt lãi/lỗ, không có cửa sổ 30 ngày). Phạm vi đối chiếu: chỉ DM2 — không tài khoản nào khác được cung cấp, nên không thể khẳng định đã phủ toàn bộ exposure của người góp vốn.</t>
  </si>
  <si>
    <t>Không có tài khoản ưu đãi thuế (IRA/401k...) trong cấu trúc này — bước "tái cân bằng ở tài khoản miễn thuế trước" không áp dụng.</t>
  </si>
  <si>
    <t>5. CÁC PHƯƠNG ÁN ĐÃ CÂN NHẮC</t>
  </si>
  <si>
    <t>(a) Giải ngân ngay hôm nay 16/09 vào 4 slot: đóng lệch tiền mặt nhanh nhất, nhưng phải chọn mã mà chưa có bảng xếp hạng RS của kỳ, và tiền bán BSR chưa về (T+2).</t>
  </si>
  <si>
    <t>(b) Chờ kỳ soát bổ sung 21/09/2026 đã ghi trong tham số: có đủ dữ liệu lọc và xếp hạng, tiền đã về, đúng tần suất chính sách; đổi lại là giữ 59% tiền mặt thêm 5 phiên.</t>
  </si>
  <si>
    <t>(c) Giải ngân từng phần: lấp 1–2 slot bằng mã đã chắc chắn qua bộ lọc, để phần còn lại cho 21/09 — giảm cả rủi ro chọn mã gấp lẫn rủi ro đứng ngoài thị trường.</t>
  </si>
  <si>
    <t>(d) Không làm gì: chỉ hợp lý nếu có luan điểm rõ về thị trường — sheet Su kien ghi căn cứ bán BSR là "lo ngại chung về thị trường", nên phương án này không tự động bị loại; cần ghi rõ nếu chọn.</t>
  </si>
  <si>
    <t>Phương án được chọn: [điền — người quản lý quyết định]</t>
  </si>
  <si>
    <t>6. RÀNG BUỘC / GIỚI HẠN ĐÃ TÔN TRỌNG</t>
  </si>
  <si>
    <t>QUY_TAC_5 với BSR (hiệu lực tới kỳ soát kế tiếp, trần 50% vị thế/lần); quyền của người góp vốn với VHM (LỆNH NGOÀI LUẬT #1); trần 20%/mã và 40%/ngành; ticket tối thiểu 5 tr; bộ lọc cứng và ngưỡng thanh khoản; lô chẵn 100 CP.</t>
  </si>
  <si>
    <t>6a. VẤN ĐỀ DỮ LIỆU CÒN MỞ</t>
  </si>
  <si>
    <t>(1) NAV dựng lại 60.888.122 đ lệch 444.095 đ (0,73%) so với sao kê 15/09 là 60.444.027 đ; ghi chú trên sheet Tong ket nói lệch 271 đ / 0,00045% — con số này không dựng lại được từ dữ liệu trong sổ. Mọi % NAV trong bản soát dùng mẫu số 60.888.122 đ.</t>
  </si>
  <si>
    <t>(2) Ô tổng cột "Giá trị vốn" trên sheet Phan bo hien tai ghi 24.964.000 đ nhưng đó là giá trị thị trường; tổng giá vốn thực của 4 vị thế là 24.670.000 đ.</t>
  </si>
  <si>
    <t>(3) 140 CP thưởng MSB chưa xác nhận về tài khoản (≈1,8 tr, 3% NAV).</t>
  </si>
  <si>
    <t>(4) Định giá lệch ngày: BSR theo giá 16/09, ba mã còn lại theo giá 15/09.</t>
  </si>
  <si>
    <t>(5) Phí lưu ký 819 đ không nằm trong "Tổng chi phí giao dịch 130.878 đ" trên sheet Tong ket.</t>
  </si>
  <si>
    <t>(6) ATR của các mã không có trong sổ tính — target risk parity chưa tính được; dữ liệu xếp hạng RS cũng không có nên 4 slot trống để ngỏ.</t>
  </si>
  <si>
    <t>7. PHÊ DUYỆT</t>
  </si>
  <si>
    <t>Vai trò | Họ tên | Ngày</t>
  </si>
  <si>
    <t xml:space="preserve">Người quản lý danh mục |  | </t>
  </si>
  <si>
    <t xml:space="preserve">Người góp vốn / người rà soát (nếu quy trình đòi hỏi) |  | </t>
  </si>
  <si>
    <t>Để trống có chủ đích: không có gì trong bản soát này xác lập ai đã phê duyệt. Người quản lý tự ký tên mình.</t>
  </si>
  <si>
    <t>Lưu trữ theo chính sách hồ sơ của chính bạn. Bản nháp do Claude soạn, không phải khuyến nghị đầu tư, không phải kết luận về tính phù hợp.</t>
  </si>
  <si>
    <t>Cờ thực thi</t>
  </si>
  <si>
    <t>Kiểm tra: tổng mua + chi phí ≤ tiền khả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</si>
</sst>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 đ&quot;"/>
    <numFmt numFmtId="165" formatCode="0.0%"/>
    <numFmt numFmtId="166" formatCode="0.0"/>
    <numFmt numFmtId="167" formatCode="0.000%"/>
  </numFmts>
  <fonts count="18" x14ac:knownFonts="1">
    <font>
      <sz val="11"/>
      <color theme="1"/>
      <name val="Calibri"/>
      <family val="2"/>
      <scheme val="minor"/>
    </font>
    <font>
      <b/>
      <sz val="14"/>
      <color rgb="FF1F3864"/>
      <name val="Calibri"/>
      <family val="2"/>
    </font>
    <font>
      <i/>
      <sz val="9"/>
      <color rgb="FF666666"/>
      <name val="Calibri"/>
      <family val="2"/>
    </font>
    <font>
      <b/>
      <sz val="11"/>
      <color rgb="FFFFFFFF"/>
      <name val="Calibri"/>
      <family val="2"/>
    </font>
    <font>
      <b/>
      <sz val="11"/>
      <name val="Calibri"/>
      <family val="2"/>
    </font>
    <font>
      <b/>
      <i/>
      <sz val="11"/>
      <name val="Calibri"/>
      <family val="2"/>
    </font>
    <font>
      <b/>
      <sz val="11"/>
      <color rgb="FF006100"/>
      <name val="Calibri"/>
      <family val="2"/>
    </font>
    <font>
      <i/>
      <sz val="9"/>
      <color rgb="FFC00000"/>
      <name val="Calibri"/>
      <family val="2"/>
    </font>
    <font>
      <b/>
      <sz val="14"/>
      <color theme="1"/>
      <name val="Calibri"/>
      <family val="2"/>
      <scheme val="minor"/>
    </font>
    <font>
      <i/>
      <sz val="9"/>
      <color theme="1"/>
      <name val="Calibri"/>
      <family val="2"/>
      <scheme val="minor"/>
    </font>
    <font>
      <b/>
      <sz val="9"/>
      <color rgb="FFC00000"/>
      <name val="Calibri"/>
      <family val="2"/>
      <scheme val="minor"/>
    </font>
    <font>
      <b/>
      <sz val="11"/>
      <color theme="1"/>
      <name val="Calibri"/>
      <family val="2"/>
      <scheme val="minor"/>
    </font>
    <font>
      <sz val="11"/>
      <color rgb="FF0000FF"/>
      <name val="Calibri"/>
      <family val="2"/>
      <scheme val="minor"/>
    </font>
    <font>
      <sz val="11"/>
      <color rgb="FF008000"/>
      <name val="Calibri"/>
      <family val="2"/>
      <scheme val="minor"/>
    </font>
    <font>
      <sz val="9"/>
      <color indexed="81"/>
      <name val="Segoe UI"/>
      <family val="2"/>
    </font>
    <font>
      <b/>
      <sz val="9"/>
      <color indexed="81"/>
      <name val="Segoe UI"/>
      <family val="2"/>
    </font>
    <font>
      <b/>
      <sz val="11"/>
      <color rgb="FF0000FF"/>
      <name val="Calibri"/>
      <family val="2"/>
      <scheme val="minor"/>
    </font>
    <font>
      <i/>
      <sz val="11"/>
      <color theme="1"/>
      <name val="Calibri"/>
      <family val="2"/>
      <scheme val="minor"/>
    </font>
  </fonts>
  <fills count="11">
    <fill>
      <patternFill patternType="none"/>
    </fill>
    <fill>
      <patternFill patternType="gray125"/>
    </fill>
    <fill>
      <patternFill patternType="solid">
        <fgColor rgb="FF1F3864"/>
      </patternFill>
    </fill>
    <fill>
      <patternFill patternType="solid">
        <fgColor rgb="FFE2EFDA"/>
      </patternFill>
    </fill>
    <fill>
      <patternFill patternType="solid">
        <fgColor rgb="FFFCE4D6"/>
      </patternFill>
    </fill>
    <fill>
      <patternFill patternType="solid">
        <fgColor rgb="FFDCE6F1"/>
      </patternFill>
    </fill>
    <fill>
      <patternFill patternType="solid">
        <fgColor rgb="FFFFF2CC"/>
      </patternFill>
    </fill>
    <fill>
      <patternFill patternType="solid">
        <fgColor rgb="FF2E5395"/>
      </patternFill>
    </fill>
    <fill>
      <patternFill patternType="solid">
        <fgColor rgb="FFD9E1F2"/>
        <bgColor indexed="64"/>
      </patternFill>
    </fill>
    <fill>
      <patternFill patternType="solid">
        <fgColor rgb="FFF2F2F2"/>
        <bgColor indexed="64"/>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71">
    <xf numFmtId="0" fontId="0" fillId="0" borderId="0" xfId="0"/>
    <xf numFmtId="0" fontId="3" fillId="2" borderId="1" xfId="0" applyFont="1" applyFill="1" applyBorder="1" applyAlignment="1">
      <alignment horizontal="center" vertical="center" wrapText="1"/>
    </xf>
    <xf numFmtId="0" fontId="0" fillId="3" borderId="1" xfId="0" applyFill="1" applyBorder="1"/>
    <xf numFmtId="0" fontId="0" fillId="3" borderId="1" xfId="0" applyFill="1" applyBorder="1" applyAlignment="1">
      <alignment horizontal="center"/>
    </xf>
    <xf numFmtId="164" fontId="0" fillId="3" borderId="1" xfId="0" applyNumberFormat="1" applyFill="1" applyBorder="1"/>
    <xf numFmtId="0" fontId="0" fillId="4" borderId="1" xfId="0" applyFill="1" applyBorder="1"/>
    <xf numFmtId="0" fontId="0" fillId="4" borderId="1" xfId="0" applyFill="1" applyBorder="1" applyAlignment="1">
      <alignment horizontal="center"/>
    </xf>
    <xf numFmtId="164" fontId="0" fillId="4" borderId="1" xfId="0" applyNumberFormat="1" applyFill="1" applyBorder="1"/>
    <xf numFmtId="0" fontId="4" fillId="5" borderId="1" xfId="0" applyFont="1" applyFill="1" applyBorder="1"/>
    <xf numFmtId="0" fontId="0" fillId="5" borderId="1" xfId="0" applyFill="1" applyBorder="1"/>
    <xf numFmtId="164" fontId="4" fillId="5" borderId="1" xfId="0" applyNumberFormat="1" applyFont="1" applyFill="1" applyBorder="1"/>
    <xf numFmtId="0" fontId="4" fillId="0" borderId="1" xfId="0" applyFont="1" applyBorder="1"/>
    <xf numFmtId="0" fontId="0" fillId="0" borderId="1" xfId="0" applyBorder="1"/>
    <xf numFmtId="164" fontId="0" fillId="0" borderId="1" xfId="0" applyNumberFormat="1" applyBorder="1"/>
    <xf numFmtId="165" fontId="0" fillId="0" borderId="1" xfId="0" applyNumberFormat="1" applyBorder="1"/>
    <xf numFmtId="10" fontId="0" fillId="0" borderId="1" xfId="0" applyNumberFormat="1" applyBorder="1"/>
    <xf numFmtId="0" fontId="4" fillId="6" borderId="1" xfId="0" applyFont="1" applyFill="1" applyBorder="1"/>
    <xf numFmtId="0" fontId="0" fillId="6" borderId="1" xfId="0" applyFill="1" applyBorder="1"/>
    <xf numFmtId="164" fontId="0" fillId="6" borderId="1" xfId="0" applyNumberFormat="1" applyFill="1" applyBorder="1"/>
    <xf numFmtId="165" fontId="0" fillId="6" borderId="1" xfId="0" applyNumberFormat="1" applyFill="1" applyBorder="1"/>
    <xf numFmtId="165" fontId="4" fillId="5" borderId="1" xfId="0" applyNumberFormat="1" applyFont="1" applyFill="1" applyBorder="1"/>
    <xf numFmtId="0" fontId="3" fillId="2" borderId="1" xfId="0" applyFont="1" applyFill="1" applyBorder="1"/>
    <xf numFmtId="1" fontId="0" fillId="0" borderId="1" xfId="0" applyNumberFormat="1" applyBorder="1"/>
    <xf numFmtId="0" fontId="5" fillId="0" borderId="0" xfId="0" applyFont="1"/>
    <xf numFmtId="0" fontId="4" fillId="0" borderId="0" xfId="0" applyFont="1"/>
    <xf numFmtId="164" fontId="6" fillId="0" borderId="1" xfId="0" applyNumberFormat="1" applyFont="1" applyBorder="1"/>
    <xf numFmtId="164" fontId="4" fillId="0" borderId="0" xfId="0" applyNumberFormat="1" applyFont="1"/>
    <xf numFmtId="0" fontId="0" fillId="0" borderId="1" xfId="0" applyBorder="1" applyAlignment="1">
      <alignment wrapText="1"/>
    </xf>
    <xf numFmtId="0" fontId="1" fillId="0" borderId="0" xfId="0" applyFont="1"/>
    <xf numFmtId="0" fontId="0" fillId="0" borderId="0" xfId="0"/>
    <xf numFmtId="0" fontId="4" fillId="5" borderId="1" xfId="0" applyFont="1" applyFill="1" applyBorder="1"/>
    <xf numFmtId="0" fontId="0" fillId="5" borderId="1" xfId="0" applyFill="1" applyBorder="1"/>
    <xf numFmtId="0" fontId="2" fillId="0" borderId="0" xfId="0" applyFont="1"/>
    <xf numFmtId="0" fontId="3" fillId="7" borderId="0" xfId="0" applyFont="1" applyFill="1"/>
    <xf numFmtId="0" fontId="0" fillId="7" borderId="0" xfId="0" applyFill="1"/>
    <xf numFmtId="0" fontId="0" fillId="0" borderId="0" xfId="0" applyAlignment="1">
      <alignment vertical="top" wrapText="1"/>
    </xf>
    <xf numFmtId="0" fontId="0" fillId="0" borderId="1" xfId="0" applyBorder="1" applyAlignment="1">
      <alignment wrapText="1"/>
    </xf>
    <xf numFmtId="0" fontId="0" fillId="0" borderId="2" xfId="0" applyBorder="1"/>
    <xf numFmtId="0" fontId="7" fillId="0" borderId="0" xfId="0" applyFont="1" applyAlignment="1">
      <alignment wrapText="1"/>
    </xf>
    <xf numFmtId="0" fontId="8" fillId="0" borderId="0" xfId="0" applyFont="1"/>
    <xf numFmtId="0" fontId="9" fillId="0" borderId="0" xfId="0" applyFont="1"/>
    <xf numFmtId="0" fontId="10" fillId="0" borderId="0" xfId="0" applyFont="1"/>
    <xf numFmtId="0" fontId="11" fillId="0" borderId="0" xfId="0" applyFont="1"/>
    <xf numFmtId="0" fontId="11" fillId="8" borderId="0" xfId="0" applyFont="1" applyFill="1"/>
    <xf numFmtId="0" fontId="12" fillId="10" borderId="0" xfId="0" applyFont="1" applyFill="1"/>
    <xf numFmtId="0" fontId="12" fillId="10" borderId="0" xfId="0" applyFont="1" applyFill="1" applyAlignment="1">
      <alignment horizontal="center"/>
    </xf>
    <xf numFmtId="0" fontId="0" fillId="0" borderId="0" xfId="0" applyAlignment="1"/>
    <xf numFmtId="0" fontId="11" fillId="9" borderId="0" xfId="0" applyFont="1" applyFill="1" applyAlignment="1"/>
    <xf numFmtId="165" fontId="12" fillId="10" borderId="0" xfId="0" applyNumberFormat="1" applyFont="1" applyFill="1" applyAlignment="1"/>
    <xf numFmtId="3" fontId="13" fillId="0" borderId="0" xfId="0" applyNumberFormat="1" applyFont="1" applyAlignment="1"/>
    <xf numFmtId="165" fontId="13" fillId="0" borderId="0" xfId="0" applyNumberFormat="1" applyFont="1" applyAlignment="1"/>
    <xf numFmtId="0" fontId="11" fillId="10" borderId="0" xfId="0" applyFont="1" applyFill="1" applyAlignment="1"/>
    <xf numFmtId="0" fontId="13" fillId="0" borderId="0" xfId="0" applyFont="1" applyAlignment="1"/>
    <xf numFmtId="3" fontId="0" fillId="0" borderId="0" xfId="0" applyNumberFormat="1" applyAlignment="1"/>
    <xf numFmtId="165" fontId="0" fillId="0" borderId="0" xfId="0" applyNumberFormat="1" applyAlignment="1"/>
    <xf numFmtId="166" fontId="0" fillId="0" borderId="0" xfId="0" applyNumberFormat="1" applyAlignment="1"/>
    <xf numFmtId="0" fontId="12" fillId="10" borderId="0" xfId="0" applyFont="1" applyFill="1" applyAlignment="1"/>
    <xf numFmtId="3" fontId="12" fillId="0" borderId="0" xfId="0" applyNumberFormat="1" applyFont="1" applyAlignment="1"/>
    <xf numFmtId="165" fontId="11" fillId="0" borderId="0" xfId="0" applyNumberFormat="1" applyFont="1" applyAlignment="1"/>
    <xf numFmtId="3" fontId="11" fillId="0" borderId="0" xfId="0" applyNumberFormat="1" applyFont="1" applyAlignment="1"/>
    <xf numFmtId="3" fontId="11" fillId="9" borderId="0" xfId="0" applyNumberFormat="1" applyFont="1" applyFill="1" applyAlignment="1"/>
    <xf numFmtId="165" fontId="11" fillId="9" borderId="0" xfId="0" applyNumberFormat="1" applyFont="1" applyFill="1" applyAlignment="1"/>
    <xf numFmtId="0" fontId="17" fillId="0" borderId="0" xfId="0" applyFont="1" applyAlignment="1"/>
    <xf numFmtId="3" fontId="12" fillId="10" borderId="0" xfId="0" applyNumberFormat="1" applyFont="1" applyFill="1" applyAlignment="1"/>
    <xf numFmtId="1" fontId="0" fillId="0" borderId="0" xfId="0" applyNumberFormat="1" applyAlignment="1"/>
    <xf numFmtId="167" fontId="0" fillId="0" borderId="0" xfId="0" applyNumberFormat="1" applyAlignment="1"/>
    <xf numFmtId="0" fontId="11" fillId="8" borderId="0" xfId="0" applyFont="1" applyFill="1" applyAlignment="1"/>
    <xf numFmtId="0" fontId="16" fillId="10" borderId="0" xfId="0" applyFont="1" applyFill="1" applyAlignment="1"/>
    <xf numFmtId="0" fontId="16" fillId="9" borderId="0" xfId="0" applyFont="1" applyFill="1" applyAlignment="1"/>
    <xf numFmtId="0" fontId="9" fillId="0" borderId="0" xfId="0" applyFont="1" applyAlignment="1"/>
    <xf numFmtId="0" fontId="11" fillId="0" borderId="0" xfId="0" applyFont="1" applyAlignme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2838921-6A09-4C9F-AD17-7ADCF9D3F636}">
  <we:reference id="wa200009404" version="1.0.0.8" store="vi-VN" storeType="OMEX"/>
  <we:alternateReferences>
    <we:reference id="wa200009404" version="1.0.0.8" store="wa200009404" storeType="OMEX"/>
  </we:alternateReferences>
  <we:properties>
    <we:property name="claude.fileId" value="&quot;01c51352-e6f7-49ec-8192-62c12ea3fc08&quot;"/>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P21"/>
  <sheetViews>
    <sheetView workbookViewId="0">
      <pane ySplit="4" topLeftCell="A5" activePane="bottomLeft" state="frozen"/>
      <selection pane="bottomLeft" sqref="A1:P1"/>
    </sheetView>
  </sheetViews>
  <sheetFormatPr defaultRowHeight="14.5" x14ac:dyDescent="0.35"/>
  <cols>
    <col min="1" max="1" width="5" customWidth="1"/>
    <col min="2" max="2" width="12" customWidth="1"/>
    <col min="3" max="3" width="9" customWidth="1"/>
    <col min="4" max="5" width="8" customWidth="1"/>
    <col min="6" max="6" width="10" customWidth="1"/>
    <col min="7" max="7" width="13" customWidth="1"/>
    <col min="8" max="8" width="11" customWidth="1"/>
    <col min="9" max="9" width="10" customWidth="1"/>
    <col min="10" max="10" width="13" customWidth="1"/>
    <col min="11" max="11" width="16" customWidth="1"/>
    <col min="12" max="13" width="12" customWidth="1"/>
    <col min="14" max="14" width="20" customWidth="1"/>
    <col min="15" max="15" width="40" customWidth="1"/>
    <col min="16" max="16" width="14" customWidth="1"/>
  </cols>
  <sheetData>
    <row r="1" spans="1:16" ht="18.5" x14ac:dyDescent="0.45">
      <c r="A1" s="28" t="s">
        <v>0</v>
      </c>
      <c r="B1" s="29"/>
      <c r="C1" s="29"/>
      <c r="D1" s="29"/>
      <c r="E1" s="29"/>
      <c r="F1" s="29"/>
      <c r="G1" s="29"/>
      <c r="H1" s="29"/>
      <c r="I1" s="29"/>
      <c r="J1" s="29"/>
      <c r="K1" s="29"/>
      <c r="L1" s="29"/>
      <c r="M1" s="29"/>
      <c r="N1" s="29"/>
      <c r="O1" s="29"/>
      <c r="P1" s="29"/>
    </row>
    <row r="2" spans="1:16" x14ac:dyDescent="0.35">
      <c r="A2" s="32" t="s">
        <v>1</v>
      </c>
      <c r="B2" s="29"/>
      <c r="C2" s="29"/>
      <c r="D2" s="29"/>
      <c r="E2" s="29"/>
      <c r="F2" s="29"/>
      <c r="G2" s="29"/>
      <c r="H2" s="29"/>
      <c r="I2" s="29"/>
      <c r="J2" s="29"/>
      <c r="K2" s="29"/>
      <c r="L2" s="29"/>
      <c r="M2" s="29"/>
      <c r="N2" s="29"/>
      <c r="O2" s="29"/>
      <c r="P2" s="29"/>
    </row>
    <row r="4" spans="1:16" ht="34" customHeight="1" x14ac:dyDescent="0.35">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row>
    <row r="5" spans="1:16" x14ac:dyDescent="0.35">
      <c r="A5" s="2">
        <v>1</v>
      </c>
      <c r="B5" s="2" t="s">
        <v>18</v>
      </c>
      <c r="C5" s="3" t="s">
        <v>19</v>
      </c>
      <c r="D5" s="2" t="s">
        <v>20</v>
      </c>
      <c r="E5" s="2">
        <v>700</v>
      </c>
      <c r="F5" s="2">
        <v>16000</v>
      </c>
      <c r="G5" s="4">
        <v>11200000</v>
      </c>
      <c r="H5" s="4">
        <v>8960</v>
      </c>
      <c r="I5" s="4">
        <v>0</v>
      </c>
      <c r="J5" s="4">
        <v>-11208960</v>
      </c>
      <c r="K5" s="4">
        <v>48791040</v>
      </c>
      <c r="L5" s="4"/>
      <c r="M5" s="4"/>
      <c r="N5" s="2" t="s">
        <v>21</v>
      </c>
      <c r="O5" s="2" t="s">
        <v>22</v>
      </c>
      <c r="P5" s="2" t="s">
        <v>18</v>
      </c>
    </row>
    <row r="6" spans="1:16" x14ac:dyDescent="0.35">
      <c r="A6" s="2">
        <v>2</v>
      </c>
      <c r="B6" s="2" t="s">
        <v>18</v>
      </c>
      <c r="C6" s="3" t="s">
        <v>19</v>
      </c>
      <c r="D6" s="2" t="s">
        <v>23</v>
      </c>
      <c r="E6" s="2">
        <v>200</v>
      </c>
      <c r="F6" s="2">
        <v>62500</v>
      </c>
      <c r="G6" s="4">
        <v>12500000</v>
      </c>
      <c r="H6" s="4">
        <v>10000</v>
      </c>
      <c r="I6" s="4">
        <v>0</v>
      </c>
      <c r="J6" s="4">
        <v>-12510000</v>
      </c>
      <c r="K6" s="4">
        <v>36281040</v>
      </c>
      <c r="L6" s="4"/>
      <c r="M6" s="4"/>
      <c r="N6" s="2" t="s">
        <v>21</v>
      </c>
      <c r="O6" s="2" t="s">
        <v>24</v>
      </c>
      <c r="P6" s="2" t="s">
        <v>18</v>
      </c>
    </row>
    <row r="7" spans="1:16" x14ac:dyDescent="0.35">
      <c r="A7" s="2">
        <v>3</v>
      </c>
      <c r="B7" s="2" t="s">
        <v>18</v>
      </c>
      <c r="C7" s="3" t="s">
        <v>19</v>
      </c>
      <c r="D7" s="2" t="s">
        <v>25</v>
      </c>
      <c r="E7" s="2">
        <v>100</v>
      </c>
      <c r="F7" s="2">
        <v>32150</v>
      </c>
      <c r="G7" s="4">
        <v>3215000</v>
      </c>
      <c r="H7" s="4">
        <v>2572</v>
      </c>
      <c r="I7" s="4">
        <v>0</v>
      </c>
      <c r="J7" s="4">
        <v>-3217572</v>
      </c>
      <c r="K7" s="4">
        <v>33063468</v>
      </c>
      <c r="L7" s="4"/>
      <c r="M7" s="4"/>
      <c r="N7" s="2" t="s">
        <v>21</v>
      </c>
      <c r="O7" s="2" t="s">
        <v>24</v>
      </c>
      <c r="P7" s="2" t="s">
        <v>18</v>
      </c>
    </row>
    <row r="8" spans="1:16" x14ac:dyDescent="0.35">
      <c r="A8" s="2">
        <v>4</v>
      </c>
      <c r="B8" s="2" t="s">
        <v>26</v>
      </c>
      <c r="C8" s="3" t="s">
        <v>19</v>
      </c>
      <c r="D8" s="2" t="s">
        <v>27</v>
      </c>
      <c r="E8" s="2">
        <v>200</v>
      </c>
      <c r="F8" s="2">
        <v>27000</v>
      </c>
      <c r="G8" s="4">
        <v>5400000</v>
      </c>
      <c r="H8" s="4">
        <v>4320</v>
      </c>
      <c r="I8" s="4">
        <v>0</v>
      </c>
      <c r="J8" s="4">
        <v>-5404320</v>
      </c>
      <c r="K8" s="4">
        <v>27659148</v>
      </c>
      <c r="L8" s="4"/>
      <c r="M8" s="4"/>
      <c r="N8" s="2" t="s">
        <v>28</v>
      </c>
      <c r="O8" s="2" t="s">
        <v>29</v>
      </c>
      <c r="P8" s="2" t="s">
        <v>26</v>
      </c>
    </row>
    <row r="9" spans="1:16" x14ac:dyDescent="0.35">
      <c r="A9" s="2">
        <v>5</v>
      </c>
      <c r="B9" s="2" t="s">
        <v>26</v>
      </c>
      <c r="C9" s="3" t="s">
        <v>19</v>
      </c>
      <c r="D9" s="2" t="s">
        <v>30</v>
      </c>
      <c r="E9" s="2">
        <v>100</v>
      </c>
      <c r="F9" s="2">
        <v>78800</v>
      </c>
      <c r="G9" s="4">
        <v>7880000</v>
      </c>
      <c r="H9" s="4">
        <v>6304</v>
      </c>
      <c r="I9" s="4">
        <v>0</v>
      </c>
      <c r="J9" s="4">
        <v>-7886304</v>
      </c>
      <c r="K9" s="4">
        <v>19772844</v>
      </c>
      <c r="L9" s="4"/>
      <c r="M9" s="4"/>
      <c r="N9" s="2" t="s">
        <v>28</v>
      </c>
      <c r="O9" s="2" t="s">
        <v>31</v>
      </c>
      <c r="P9" s="2" t="s">
        <v>26</v>
      </c>
    </row>
    <row r="10" spans="1:16" x14ac:dyDescent="0.35">
      <c r="A10" s="2">
        <v>6</v>
      </c>
      <c r="B10" s="2" t="s">
        <v>26</v>
      </c>
      <c r="C10" s="3" t="s">
        <v>19</v>
      </c>
      <c r="D10" s="2" t="s">
        <v>32</v>
      </c>
      <c r="E10" s="2">
        <v>100</v>
      </c>
      <c r="F10" s="2">
        <v>50800</v>
      </c>
      <c r="G10" s="4">
        <v>5080000</v>
      </c>
      <c r="H10" s="4">
        <v>4064</v>
      </c>
      <c r="I10" s="4">
        <v>0</v>
      </c>
      <c r="J10" s="4">
        <v>-5084064</v>
      </c>
      <c r="K10" s="4">
        <v>14688780</v>
      </c>
      <c r="L10" s="4"/>
      <c r="M10" s="4"/>
      <c r="N10" s="2" t="s">
        <v>28</v>
      </c>
      <c r="O10" s="2" t="s">
        <v>33</v>
      </c>
      <c r="P10" s="2" t="s">
        <v>26</v>
      </c>
    </row>
    <row r="11" spans="1:16" x14ac:dyDescent="0.35">
      <c r="A11" s="2">
        <v>7</v>
      </c>
      <c r="B11" s="2" t="s">
        <v>26</v>
      </c>
      <c r="C11" s="3" t="s">
        <v>19</v>
      </c>
      <c r="D11" s="2" t="s">
        <v>34</v>
      </c>
      <c r="E11" s="2">
        <v>100</v>
      </c>
      <c r="F11" s="2">
        <v>74200</v>
      </c>
      <c r="G11" s="4">
        <v>7420000</v>
      </c>
      <c r="H11" s="4">
        <v>5936</v>
      </c>
      <c r="I11" s="4">
        <v>0</v>
      </c>
      <c r="J11" s="4">
        <v>-7425936</v>
      </c>
      <c r="K11" s="4">
        <v>7262844</v>
      </c>
      <c r="L11" s="4"/>
      <c r="M11" s="4"/>
      <c r="N11" s="2" t="s">
        <v>28</v>
      </c>
      <c r="O11" s="2" t="s">
        <v>31</v>
      </c>
      <c r="P11" s="2" t="s">
        <v>26</v>
      </c>
    </row>
    <row r="12" spans="1:16" x14ac:dyDescent="0.35">
      <c r="A12" s="2">
        <v>8</v>
      </c>
      <c r="B12" s="2" t="s">
        <v>26</v>
      </c>
      <c r="C12" s="3" t="s">
        <v>19</v>
      </c>
      <c r="D12" s="2" t="s">
        <v>35</v>
      </c>
      <c r="E12" s="2">
        <v>100</v>
      </c>
      <c r="F12" s="2">
        <v>69000</v>
      </c>
      <c r="G12" s="4">
        <v>6900000</v>
      </c>
      <c r="H12" s="4">
        <v>5520</v>
      </c>
      <c r="I12" s="4">
        <v>0</v>
      </c>
      <c r="J12" s="4">
        <v>-6905520</v>
      </c>
      <c r="K12" s="4">
        <v>357324</v>
      </c>
      <c r="L12" s="4"/>
      <c r="M12" s="4"/>
      <c r="N12" s="2" t="s">
        <v>28</v>
      </c>
      <c r="O12" s="2" t="s">
        <v>36</v>
      </c>
      <c r="P12" s="2" t="s">
        <v>26</v>
      </c>
    </row>
    <row r="13" spans="1:16" x14ac:dyDescent="0.35">
      <c r="A13" s="5">
        <v>9</v>
      </c>
      <c r="B13" s="5" t="s">
        <v>37</v>
      </c>
      <c r="C13" s="6" t="s">
        <v>38</v>
      </c>
      <c r="D13" s="5" t="s">
        <v>23</v>
      </c>
      <c r="E13" s="5">
        <v>200</v>
      </c>
      <c r="F13" s="5">
        <v>62000</v>
      </c>
      <c r="G13" s="7">
        <v>12400000</v>
      </c>
      <c r="H13" s="7">
        <v>9920</v>
      </c>
      <c r="I13" s="7">
        <v>12400</v>
      </c>
      <c r="J13" s="7">
        <v>12377680</v>
      </c>
      <c r="K13" s="7">
        <v>12735004</v>
      </c>
      <c r="L13" s="7">
        <v>-100000</v>
      </c>
      <c r="M13" s="7">
        <v>-132320</v>
      </c>
      <c r="N13" s="5" t="s">
        <v>39</v>
      </c>
      <c r="O13" s="5" t="s">
        <v>40</v>
      </c>
      <c r="P13" s="5" t="s">
        <v>37</v>
      </c>
    </row>
    <row r="14" spans="1:16" x14ac:dyDescent="0.35">
      <c r="A14" s="5">
        <v>10</v>
      </c>
      <c r="B14" s="5" t="s">
        <v>37</v>
      </c>
      <c r="C14" s="6" t="s">
        <v>38</v>
      </c>
      <c r="D14" s="5" t="s">
        <v>25</v>
      </c>
      <c r="E14" s="5">
        <v>100</v>
      </c>
      <c r="F14" s="5">
        <v>31500</v>
      </c>
      <c r="G14" s="7">
        <v>3150000</v>
      </c>
      <c r="H14" s="7">
        <v>2520</v>
      </c>
      <c r="I14" s="7">
        <v>3150</v>
      </c>
      <c r="J14" s="7">
        <v>3144330</v>
      </c>
      <c r="K14" s="7">
        <v>15879334</v>
      </c>
      <c r="L14" s="7">
        <v>-65000</v>
      </c>
      <c r="M14" s="7">
        <v>-73242</v>
      </c>
      <c r="N14" s="5" t="s">
        <v>41</v>
      </c>
      <c r="O14" s="5" t="s">
        <v>42</v>
      </c>
      <c r="P14" s="5" t="s">
        <v>37</v>
      </c>
    </row>
    <row r="15" spans="1:16" x14ac:dyDescent="0.35">
      <c r="A15" s="2">
        <v>11</v>
      </c>
      <c r="B15" s="2" t="s">
        <v>43</v>
      </c>
      <c r="C15" s="3" t="s">
        <v>19</v>
      </c>
      <c r="D15" s="2" t="s">
        <v>44</v>
      </c>
      <c r="E15" s="2">
        <v>200</v>
      </c>
      <c r="F15" s="2">
        <v>36600</v>
      </c>
      <c r="G15" s="4">
        <v>7320000</v>
      </c>
      <c r="H15" s="4">
        <v>5856</v>
      </c>
      <c r="I15" s="4">
        <v>0</v>
      </c>
      <c r="J15" s="4">
        <v>-7325856</v>
      </c>
      <c r="K15" s="4">
        <v>8553478</v>
      </c>
      <c r="L15" s="4"/>
      <c r="M15" s="4"/>
      <c r="N15" s="2" t="s">
        <v>45</v>
      </c>
      <c r="O15" s="2" t="s">
        <v>46</v>
      </c>
      <c r="P15" s="2" t="s">
        <v>43</v>
      </c>
    </row>
    <row r="16" spans="1:16" x14ac:dyDescent="0.35">
      <c r="A16" s="5">
        <v>12</v>
      </c>
      <c r="B16" s="5" t="s">
        <v>43</v>
      </c>
      <c r="C16" s="6" t="s">
        <v>38</v>
      </c>
      <c r="D16" s="5" t="s">
        <v>30</v>
      </c>
      <c r="E16" s="5">
        <v>100</v>
      </c>
      <c r="F16" s="5">
        <v>78100</v>
      </c>
      <c r="G16" s="7">
        <v>7810000</v>
      </c>
      <c r="H16" s="7">
        <v>6248</v>
      </c>
      <c r="I16" s="7">
        <v>7810</v>
      </c>
      <c r="J16" s="7">
        <v>7795942</v>
      </c>
      <c r="K16" s="7">
        <v>16349420</v>
      </c>
      <c r="L16" s="7">
        <v>-70000</v>
      </c>
      <c r="M16" s="7">
        <v>-90362</v>
      </c>
      <c r="N16" s="5" t="s">
        <v>47</v>
      </c>
      <c r="O16" s="5" t="s">
        <v>48</v>
      </c>
      <c r="P16" s="5" t="s">
        <v>43</v>
      </c>
    </row>
    <row r="17" spans="1:16" x14ac:dyDescent="0.35">
      <c r="A17" s="5">
        <v>13</v>
      </c>
      <c r="B17" s="5" t="s">
        <v>43</v>
      </c>
      <c r="C17" s="6" t="s">
        <v>38</v>
      </c>
      <c r="D17" s="5" t="s">
        <v>32</v>
      </c>
      <c r="E17" s="5">
        <v>100</v>
      </c>
      <c r="F17" s="5">
        <v>49050</v>
      </c>
      <c r="G17" s="7">
        <v>4905000</v>
      </c>
      <c r="H17" s="7">
        <v>3924</v>
      </c>
      <c r="I17" s="7">
        <v>4905</v>
      </c>
      <c r="J17" s="7">
        <v>4896171</v>
      </c>
      <c r="K17" s="7">
        <v>21245591</v>
      </c>
      <c r="L17" s="7">
        <v>-175000</v>
      </c>
      <c r="M17" s="7">
        <v>-187893</v>
      </c>
      <c r="N17" s="5" t="s">
        <v>47</v>
      </c>
      <c r="O17" s="5" t="s">
        <v>48</v>
      </c>
      <c r="P17" s="5" t="s">
        <v>43</v>
      </c>
    </row>
    <row r="18" spans="1:16" x14ac:dyDescent="0.35">
      <c r="A18" s="5">
        <v>14</v>
      </c>
      <c r="B18" s="5" t="s">
        <v>49</v>
      </c>
      <c r="C18" s="6" t="s">
        <v>38</v>
      </c>
      <c r="D18" s="5" t="s">
        <v>35</v>
      </c>
      <c r="E18" s="5">
        <v>50</v>
      </c>
      <c r="F18" s="5">
        <v>77700</v>
      </c>
      <c r="G18" s="7">
        <v>3885000</v>
      </c>
      <c r="H18" s="7">
        <v>3108</v>
      </c>
      <c r="I18" s="7">
        <v>3885</v>
      </c>
      <c r="J18" s="7">
        <v>3878007</v>
      </c>
      <c r="K18" s="7">
        <v>25123598</v>
      </c>
      <c r="L18" s="7">
        <v>435000</v>
      </c>
      <c r="M18" s="7">
        <v>425247</v>
      </c>
      <c r="N18" s="5" t="s">
        <v>50</v>
      </c>
      <c r="O18" s="5" t="s">
        <v>51</v>
      </c>
      <c r="P18" s="5" t="s">
        <v>49</v>
      </c>
    </row>
    <row r="19" spans="1:16" x14ac:dyDescent="0.35">
      <c r="A19" s="5">
        <v>15</v>
      </c>
      <c r="B19" s="5" t="s">
        <v>52</v>
      </c>
      <c r="C19" s="6" t="s">
        <v>38</v>
      </c>
      <c r="D19" s="5" t="s">
        <v>34</v>
      </c>
      <c r="E19" s="5">
        <v>100</v>
      </c>
      <c r="F19" s="5">
        <v>76900</v>
      </c>
      <c r="G19" s="7">
        <v>7690000</v>
      </c>
      <c r="H19" s="7">
        <v>6152</v>
      </c>
      <c r="I19" s="7">
        <v>7690</v>
      </c>
      <c r="J19" s="7">
        <v>7676158</v>
      </c>
      <c r="K19" s="7">
        <v>32799756</v>
      </c>
      <c r="L19" s="7">
        <v>270000</v>
      </c>
      <c r="M19" s="7">
        <v>250222</v>
      </c>
      <c r="N19" s="5" t="s">
        <v>53</v>
      </c>
      <c r="O19" s="5" t="s">
        <v>54</v>
      </c>
      <c r="P19" s="5" t="s">
        <v>52</v>
      </c>
    </row>
    <row r="20" spans="1:16" x14ac:dyDescent="0.35">
      <c r="A20" s="5">
        <v>16</v>
      </c>
      <c r="B20" s="5" t="s">
        <v>55</v>
      </c>
      <c r="C20" s="6" t="s">
        <v>38</v>
      </c>
      <c r="D20" s="5" t="s">
        <v>27</v>
      </c>
      <c r="E20" s="5">
        <v>100</v>
      </c>
      <c r="F20" s="5">
        <v>31300</v>
      </c>
      <c r="G20" s="7">
        <v>3130000</v>
      </c>
      <c r="H20" s="7">
        <v>2504</v>
      </c>
      <c r="I20" s="7">
        <v>3130</v>
      </c>
      <c r="J20" s="7">
        <v>3124366</v>
      </c>
      <c r="K20" s="7">
        <v>35924122</v>
      </c>
      <c r="L20" s="7">
        <v>430000</v>
      </c>
      <c r="M20" s="7">
        <v>422206</v>
      </c>
      <c r="N20" s="5" t="s">
        <v>56</v>
      </c>
      <c r="O20" s="5" t="s">
        <v>57</v>
      </c>
      <c r="P20" s="5" t="s">
        <v>55</v>
      </c>
    </row>
    <row r="21" spans="1:16" x14ac:dyDescent="0.35">
      <c r="A21" s="30" t="s">
        <v>58</v>
      </c>
      <c r="B21" s="31"/>
      <c r="C21" s="31"/>
      <c r="D21" s="31"/>
      <c r="E21" s="9"/>
      <c r="F21" s="9"/>
      <c r="G21" s="10">
        <v>109885000</v>
      </c>
      <c r="H21" s="10">
        <v>87908</v>
      </c>
      <c r="I21" s="10">
        <v>42970</v>
      </c>
      <c r="J21" s="9"/>
      <c r="K21" s="9"/>
      <c r="L21" s="9"/>
      <c r="M21" s="9"/>
      <c r="N21" s="9"/>
      <c r="O21" s="9"/>
      <c r="P21" s="9"/>
    </row>
  </sheetData>
  <autoFilter ref="A4:P20" xr:uid="{00000000-0009-0000-0000-000000000000}"/>
  <mergeCells count="3">
    <mergeCell ref="A1:P1"/>
    <mergeCell ref="A21:D21"/>
    <mergeCell ref="A2:P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sheetPr>
  <dimension ref="A1:L17"/>
  <sheetViews>
    <sheetView workbookViewId="0">
      <pane ySplit="4" topLeftCell="A5" activePane="bottomLeft" state="frozen"/>
      <selection pane="bottomLeft" sqref="A1:L1"/>
    </sheetView>
  </sheetViews>
  <sheetFormatPr defaultRowHeight="14.5" x14ac:dyDescent="0.35"/>
  <cols>
    <col min="1" max="1" width="10" customWidth="1"/>
    <col min="2" max="2" width="14" customWidth="1"/>
    <col min="3" max="3" width="9" customWidth="1"/>
    <col min="4" max="4" width="12" customWidth="1"/>
    <col min="5" max="5" width="14" customWidth="1"/>
    <col min="6" max="6" width="13" customWidth="1"/>
    <col min="7" max="7" width="16" customWidth="1"/>
    <col min="8" max="8" width="10" customWidth="1"/>
    <col min="9" max="10" width="13" customWidth="1"/>
    <col min="11" max="11" width="12" customWidth="1"/>
    <col min="12" max="12" width="30" customWidth="1"/>
  </cols>
  <sheetData>
    <row r="1" spans="1:12" ht="18.5" x14ac:dyDescent="0.45">
      <c r="A1" s="28" t="s">
        <v>59</v>
      </c>
      <c r="B1" s="29"/>
      <c r="C1" s="29"/>
      <c r="D1" s="29"/>
      <c r="E1" s="29"/>
      <c r="F1" s="29"/>
      <c r="G1" s="29"/>
      <c r="H1" s="29"/>
      <c r="I1" s="29"/>
      <c r="J1" s="29"/>
      <c r="K1" s="29"/>
      <c r="L1" s="29"/>
    </row>
    <row r="2" spans="1:12" x14ac:dyDescent="0.35">
      <c r="A2" s="32" t="s">
        <v>60</v>
      </c>
      <c r="B2" s="29"/>
      <c r="C2" s="29"/>
      <c r="D2" s="29"/>
      <c r="E2" s="29"/>
      <c r="F2" s="29"/>
      <c r="G2" s="29"/>
      <c r="H2" s="29"/>
      <c r="I2" s="29"/>
      <c r="J2" s="29"/>
      <c r="K2" s="29"/>
      <c r="L2" s="29"/>
    </row>
    <row r="4" spans="1:12" ht="34" customHeight="1" x14ac:dyDescent="0.35">
      <c r="A4" s="1" t="s">
        <v>5</v>
      </c>
      <c r="B4" s="1" t="s">
        <v>61</v>
      </c>
      <c r="C4" s="1" t="s">
        <v>6</v>
      </c>
      <c r="D4" s="1" t="s">
        <v>62</v>
      </c>
      <c r="E4" s="1" t="s">
        <v>63</v>
      </c>
      <c r="F4" s="1" t="s">
        <v>64</v>
      </c>
      <c r="G4" s="1" t="s">
        <v>65</v>
      </c>
      <c r="H4" s="1" t="s">
        <v>66</v>
      </c>
      <c r="I4" s="1" t="s">
        <v>13</v>
      </c>
      <c r="J4" s="1" t="s">
        <v>14</v>
      </c>
      <c r="K4" s="1" t="s">
        <v>67</v>
      </c>
      <c r="L4" s="1" t="s">
        <v>16</v>
      </c>
    </row>
    <row r="5" spans="1:12" x14ac:dyDescent="0.35">
      <c r="A5" s="11" t="s">
        <v>27</v>
      </c>
      <c r="B5" s="12" t="s">
        <v>68</v>
      </c>
      <c r="C5" s="12">
        <v>100</v>
      </c>
      <c r="D5" s="13">
        <v>27000</v>
      </c>
      <c r="E5" s="13">
        <v>2700000</v>
      </c>
      <c r="F5" s="13">
        <v>31300</v>
      </c>
      <c r="G5" s="13">
        <v>3130000</v>
      </c>
      <c r="H5" s="14">
        <v>5.1405756938931367E-2</v>
      </c>
      <c r="I5" s="13">
        <v>430000</v>
      </c>
      <c r="J5" s="13">
        <v>427840</v>
      </c>
      <c r="K5" s="15">
        <v>0.1584592592592593</v>
      </c>
      <c r="L5" s="12" t="s">
        <v>69</v>
      </c>
    </row>
    <row r="6" spans="1:12" x14ac:dyDescent="0.35">
      <c r="A6" s="11" t="s">
        <v>44</v>
      </c>
      <c r="B6" s="12" t="s">
        <v>70</v>
      </c>
      <c r="C6" s="12">
        <v>200</v>
      </c>
      <c r="D6" s="13">
        <v>36600</v>
      </c>
      <c r="E6" s="13">
        <v>7320000</v>
      </c>
      <c r="F6" s="13">
        <v>37300</v>
      </c>
      <c r="G6" s="13">
        <v>7460000</v>
      </c>
      <c r="H6" s="14">
        <v>0.12251979129853929</v>
      </c>
      <c r="I6" s="13">
        <v>140000</v>
      </c>
      <c r="J6" s="13">
        <v>134144</v>
      </c>
      <c r="K6" s="15">
        <v>1.8325683060109291E-2</v>
      </c>
      <c r="L6" s="12"/>
    </row>
    <row r="7" spans="1:12" x14ac:dyDescent="0.35">
      <c r="A7" s="11" t="s">
        <v>20</v>
      </c>
      <c r="B7" s="12" t="s">
        <v>71</v>
      </c>
      <c r="C7" s="12">
        <v>840</v>
      </c>
      <c r="D7" s="13">
        <v>13333</v>
      </c>
      <c r="E7" s="13">
        <v>11200000</v>
      </c>
      <c r="F7" s="13">
        <v>12850</v>
      </c>
      <c r="G7" s="13">
        <v>10794000</v>
      </c>
      <c r="H7" s="14">
        <v>0.17727595539898569</v>
      </c>
      <c r="I7" s="13">
        <v>-406000</v>
      </c>
      <c r="J7" s="13">
        <v>-414960</v>
      </c>
      <c r="K7" s="15">
        <v>-3.705E-2</v>
      </c>
      <c r="L7" s="12"/>
    </row>
    <row r="8" spans="1:12" x14ac:dyDescent="0.35">
      <c r="A8" s="11" t="s">
        <v>35</v>
      </c>
      <c r="B8" s="12" t="s">
        <v>72</v>
      </c>
      <c r="C8" s="12">
        <v>50</v>
      </c>
      <c r="D8" s="13">
        <v>69000</v>
      </c>
      <c r="E8" s="13">
        <v>3450000</v>
      </c>
      <c r="F8" s="13">
        <v>71600</v>
      </c>
      <c r="G8" s="13">
        <v>3580000</v>
      </c>
      <c r="H8" s="14">
        <v>5.8796360971685092E-2</v>
      </c>
      <c r="I8" s="13">
        <v>130000</v>
      </c>
      <c r="J8" s="13">
        <v>127240</v>
      </c>
      <c r="K8" s="15">
        <v>3.6881159420289862E-2</v>
      </c>
      <c r="L8" s="12"/>
    </row>
    <row r="9" spans="1:12" x14ac:dyDescent="0.35">
      <c r="A9" s="16" t="s">
        <v>73</v>
      </c>
      <c r="B9" s="17"/>
      <c r="C9" s="17"/>
      <c r="D9" s="17"/>
      <c r="E9" s="17"/>
      <c r="F9" s="17"/>
      <c r="G9" s="18">
        <v>35924122</v>
      </c>
      <c r="H9" s="19">
        <v>0.59000213539185853</v>
      </c>
      <c r="I9" s="17"/>
      <c r="J9" s="17"/>
      <c r="K9" s="17"/>
      <c r="L9" s="17"/>
    </row>
    <row r="10" spans="1:12" x14ac:dyDescent="0.35">
      <c r="A10" s="8" t="s">
        <v>74</v>
      </c>
      <c r="B10" s="8"/>
      <c r="C10" s="8"/>
      <c r="D10" s="8"/>
      <c r="E10" s="10">
        <v>24964000</v>
      </c>
      <c r="F10" s="8"/>
      <c r="G10" s="10">
        <v>60888122</v>
      </c>
      <c r="H10" s="20">
        <v>1</v>
      </c>
      <c r="I10" s="8"/>
      <c r="J10" s="8"/>
      <c r="K10" s="8"/>
      <c r="L10" s="8"/>
    </row>
    <row r="12" spans="1:12" x14ac:dyDescent="0.35">
      <c r="A12" s="33" t="s">
        <v>75</v>
      </c>
      <c r="B12" s="34"/>
      <c r="C12" s="34"/>
      <c r="D12" s="34"/>
      <c r="E12" s="34"/>
    </row>
    <row r="13" spans="1:12" x14ac:dyDescent="0.35">
      <c r="A13" s="21" t="s">
        <v>76</v>
      </c>
      <c r="B13" s="21" t="s">
        <v>77</v>
      </c>
      <c r="C13" s="21" t="s">
        <v>78</v>
      </c>
      <c r="D13" s="21" t="s">
        <v>79</v>
      </c>
      <c r="E13" s="21" t="s">
        <v>80</v>
      </c>
    </row>
    <row r="14" spans="1:12" x14ac:dyDescent="0.35">
      <c r="A14" s="12" t="s">
        <v>68</v>
      </c>
      <c r="B14" s="13">
        <v>3130000</v>
      </c>
      <c r="C14" s="14">
        <v>5.1405756938931367E-2</v>
      </c>
      <c r="D14" s="14">
        <v>0.4</v>
      </c>
      <c r="E14" s="14">
        <v>0.34859424306106868</v>
      </c>
    </row>
    <row r="15" spans="1:12" x14ac:dyDescent="0.35">
      <c r="A15" s="12" t="s">
        <v>70</v>
      </c>
      <c r="B15" s="13">
        <v>7460000</v>
      </c>
      <c r="C15" s="14">
        <v>0.12251979129853929</v>
      </c>
      <c r="D15" s="14">
        <v>0.4</v>
      </c>
      <c r="E15" s="14">
        <v>0.27748020870146067</v>
      </c>
    </row>
    <row r="16" spans="1:12" x14ac:dyDescent="0.35">
      <c r="A16" s="12" t="s">
        <v>71</v>
      </c>
      <c r="B16" s="13">
        <v>10794000</v>
      </c>
      <c r="C16" s="14">
        <v>0.17727595539898569</v>
      </c>
      <c r="D16" s="14">
        <v>0.4</v>
      </c>
      <c r="E16" s="14">
        <v>0.2227240446010143</v>
      </c>
    </row>
    <row r="17" spans="1:5" x14ac:dyDescent="0.35">
      <c r="A17" s="12" t="s">
        <v>72</v>
      </c>
      <c r="B17" s="13">
        <v>3580000</v>
      </c>
      <c r="C17" s="14">
        <v>5.8796360971685092E-2</v>
      </c>
      <c r="D17" s="14">
        <v>0.4</v>
      </c>
      <c r="E17" s="14">
        <v>0.34120363902831502</v>
      </c>
    </row>
  </sheetData>
  <mergeCells count="3">
    <mergeCell ref="A2:L2"/>
    <mergeCell ref="A12:E12"/>
    <mergeCell ref="A1:L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D18"/>
  <sheetViews>
    <sheetView workbookViewId="0">
      <selection sqref="A1:D1"/>
    </sheetView>
  </sheetViews>
  <sheetFormatPr defaultRowHeight="14.5" x14ac:dyDescent="0.35"/>
  <cols>
    <col min="1" max="1" width="42" customWidth="1"/>
    <col min="2" max="2" width="55" customWidth="1"/>
  </cols>
  <sheetData>
    <row r="1" spans="1:4" ht="18.5" x14ac:dyDescent="0.45">
      <c r="A1" s="28" t="s">
        <v>81</v>
      </c>
      <c r="B1" s="29"/>
      <c r="C1" s="29"/>
      <c r="D1" s="29"/>
    </row>
    <row r="2" spans="1:4" x14ac:dyDescent="0.35">
      <c r="A2" s="32" t="s">
        <v>82</v>
      </c>
      <c r="B2" s="29"/>
      <c r="C2" s="29"/>
      <c r="D2" s="29"/>
    </row>
    <row r="4" spans="1:4" x14ac:dyDescent="0.35">
      <c r="A4" s="1" t="s">
        <v>83</v>
      </c>
      <c r="B4" s="1" t="s">
        <v>77</v>
      </c>
    </row>
    <row r="5" spans="1:4" x14ac:dyDescent="0.35">
      <c r="A5" s="12" t="s">
        <v>84</v>
      </c>
      <c r="B5" s="12" t="s">
        <v>85</v>
      </c>
    </row>
    <row r="6" spans="1:4" x14ac:dyDescent="0.35">
      <c r="A6" s="12" t="s">
        <v>86</v>
      </c>
      <c r="B6" s="13">
        <v>60000000</v>
      </c>
    </row>
    <row r="7" spans="1:4" x14ac:dyDescent="0.35">
      <c r="A7" s="12" t="s">
        <v>87</v>
      </c>
      <c r="B7" s="13">
        <v>60888122</v>
      </c>
    </row>
    <row r="8" spans="1:4" x14ac:dyDescent="0.35">
      <c r="A8" s="12" t="s">
        <v>88</v>
      </c>
      <c r="B8" s="12">
        <v>8</v>
      </c>
    </row>
    <row r="9" spans="1:4" x14ac:dyDescent="0.35">
      <c r="A9" s="12" t="s">
        <v>89</v>
      </c>
      <c r="B9" s="12">
        <v>4</v>
      </c>
    </row>
    <row r="10" spans="1:4" x14ac:dyDescent="0.35">
      <c r="A10" s="12" t="s">
        <v>90</v>
      </c>
      <c r="B10" s="14">
        <v>0.2</v>
      </c>
    </row>
    <row r="11" spans="1:4" x14ac:dyDescent="0.35">
      <c r="A11" s="12" t="s">
        <v>91</v>
      </c>
      <c r="B11" s="14">
        <v>0.4</v>
      </c>
    </row>
    <row r="12" spans="1:4" x14ac:dyDescent="0.35">
      <c r="A12" s="12" t="s">
        <v>92</v>
      </c>
      <c r="B12" s="13">
        <v>5000000</v>
      </c>
    </row>
    <row r="13" spans="1:4" x14ac:dyDescent="0.35">
      <c r="A13" s="12" t="s">
        <v>93</v>
      </c>
      <c r="B13" s="13">
        <v>10000000000</v>
      </c>
    </row>
    <row r="14" spans="1:4" x14ac:dyDescent="0.35">
      <c r="A14" s="12" t="s">
        <v>94</v>
      </c>
      <c r="B14" s="12" t="s">
        <v>95</v>
      </c>
    </row>
    <row r="15" spans="1:4" x14ac:dyDescent="0.35">
      <c r="A15" s="12" t="s">
        <v>96</v>
      </c>
      <c r="B15" s="12" t="s">
        <v>97</v>
      </c>
    </row>
    <row r="16" spans="1:4" x14ac:dyDescent="0.35">
      <c r="A16" s="12" t="s">
        <v>98</v>
      </c>
      <c r="B16" s="12" t="s">
        <v>99</v>
      </c>
    </row>
    <row r="17" spans="1:2" x14ac:dyDescent="0.35">
      <c r="A17" s="12" t="s">
        <v>100</v>
      </c>
      <c r="B17" s="12" t="s">
        <v>101</v>
      </c>
    </row>
    <row r="18" spans="1:2" x14ac:dyDescent="0.35">
      <c r="A18" s="12" t="s">
        <v>102</v>
      </c>
      <c r="B18" s="12" t="s">
        <v>103</v>
      </c>
    </row>
  </sheetData>
  <mergeCells count="2">
    <mergeCell ref="A1:D1"/>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sheetPr>
  <dimension ref="A1:B25"/>
  <sheetViews>
    <sheetView workbookViewId="0">
      <selection sqref="A1:B1"/>
    </sheetView>
  </sheetViews>
  <sheetFormatPr defaultRowHeight="14.5" x14ac:dyDescent="0.35"/>
  <cols>
    <col min="1" max="1" width="48" customWidth="1"/>
    <col min="2" max="2" width="22" customWidth="1"/>
  </cols>
  <sheetData>
    <row r="1" spans="1:2" ht="18.5" x14ac:dyDescent="0.45">
      <c r="A1" s="28" t="s">
        <v>104</v>
      </c>
      <c r="B1" s="29"/>
    </row>
    <row r="2" spans="1:2" x14ac:dyDescent="0.35">
      <c r="A2" s="32" t="s">
        <v>105</v>
      </c>
      <c r="B2" s="29"/>
    </row>
    <row r="4" spans="1:2" x14ac:dyDescent="0.35">
      <c r="A4" s="1" t="s">
        <v>106</v>
      </c>
      <c r="B4" s="1" t="s">
        <v>77</v>
      </c>
    </row>
    <row r="5" spans="1:2" x14ac:dyDescent="0.35">
      <c r="A5" s="12" t="s">
        <v>107</v>
      </c>
      <c r="B5" s="22">
        <v>16</v>
      </c>
    </row>
    <row r="6" spans="1:2" x14ac:dyDescent="0.35">
      <c r="A6" s="12" t="s">
        <v>108</v>
      </c>
      <c r="B6" s="22">
        <v>9</v>
      </c>
    </row>
    <row r="7" spans="1:2" x14ac:dyDescent="0.35">
      <c r="A7" s="12" t="s">
        <v>109</v>
      </c>
      <c r="B7" s="22">
        <v>7</v>
      </c>
    </row>
    <row r="8" spans="1:2" x14ac:dyDescent="0.35">
      <c r="A8" s="12" t="s">
        <v>110</v>
      </c>
      <c r="B8" s="13">
        <v>109885000</v>
      </c>
    </row>
    <row r="9" spans="1:2" x14ac:dyDescent="0.35">
      <c r="A9" s="12" t="s">
        <v>111</v>
      </c>
      <c r="B9" s="13">
        <v>87908</v>
      </c>
    </row>
    <row r="10" spans="1:2" x14ac:dyDescent="0.35">
      <c r="A10" s="12" t="s">
        <v>112</v>
      </c>
      <c r="B10" s="13">
        <v>53532</v>
      </c>
    </row>
    <row r="11" spans="1:2" x14ac:dyDescent="0.35">
      <c r="A11" s="12" t="s">
        <v>113</v>
      </c>
      <c r="B11" s="13">
        <v>34376</v>
      </c>
    </row>
    <row r="12" spans="1:2" x14ac:dyDescent="0.35">
      <c r="A12" s="12" t="s">
        <v>114</v>
      </c>
      <c r="B12" s="13">
        <v>42970</v>
      </c>
    </row>
    <row r="13" spans="1:2" x14ac:dyDescent="0.35">
      <c r="A13" s="12" t="s">
        <v>115</v>
      </c>
      <c r="B13" s="13">
        <v>130878</v>
      </c>
    </row>
    <row r="14" spans="1:2" x14ac:dyDescent="0.35">
      <c r="A14" s="12" t="s">
        <v>116</v>
      </c>
      <c r="B14" s="15">
        <v>0.21809999999999999</v>
      </c>
    </row>
    <row r="15" spans="1:2" x14ac:dyDescent="0.35">
      <c r="A15" s="12" t="s">
        <v>117</v>
      </c>
      <c r="B15" s="13">
        <v>725000</v>
      </c>
    </row>
    <row r="16" spans="1:2" x14ac:dyDescent="0.35">
      <c r="A16" s="12" t="s">
        <v>118</v>
      </c>
      <c r="B16" s="13">
        <v>613858</v>
      </c>
    </row>
    <row r="17" spans="1:2" x14ac:dyDescent="0.35">
      <c r="A17" s="12" t="s">
        <v>119</v>
      </c>
      <c r="B17" s="13">
        <v>274264</v>
      </c>
    </row>
    <row r="18" spans="1:2" x14ac:dyDescent="0.35">
      <c r="A18" s="12" t="s">
        <v>120</v>
      </c>
      <c r="B18" s="13">
        <v>24964000</v>
      </c>
    </row>
    <row r="19" spans="1:2" x14ac:dyDescent="0.35">
      <c r="A19" s="12" t="s">
        <v>121</v>
      </c>
      <c r="B19" s="13">
        <v>35924122</v>
      </c>
    </row>
    <row r="20" spans="1:2" x14ac:dyDescent="0.35">
      <c r="A20" s="12" t="s">
        <v>122</v>
      </c>
      <c r="B20" s="13">
        <v>60888122</v>
      </c>
    </row>
    <row r="21" spans="1:2" x14ac:dyDescent="0.35">
      <c r="A21" s="12" t="s">
        <v>123</v>
      </c>
      <c r="B21" s="13">
        <v>60444027</v>
      </c>
    </row>
    <row r="22" spans="1:2" x14ac:dyDescent="0.35">
      <c r="A22" s="12" t="s">
        <v>124</v>
      </c>
      <c r="B22" s="15">
        <v>1.4802033333333331E-2</v>
      </c>
    </row>
    <row r="24" spans="1:2" x14ac:dyDescent="0.35">
      <c r="A24" s="23" t="s">
        <v>125</v>
      </c>
    </row>
    <row r="25" spans="1:2" ht="60" customHeight="1" x14ac:dyDescent="0.35">
      <c r="A25" s="35" t="s">
        <v>126</v>
      </c>
      <c r="B25" s="29"/>
    </row>
  </sheetData>
  <mergeCells count="3">
    <mergeCell ref="A25:B25"/>
    <mergeCell ref="A2:B2"/>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248A-2C8B-464F-BD54-439A6A01BE9B}">
  <dimension ref="A1:M78"/>
  <sheetViews>
    <sheetView workbookViewId="0">
      <pane ySplit="4" topLeftCell="A8" activePane="bottomLeft" state="frozen"/>
      <selection pane="bottomLeft" activeCell="A14" sqref="A14"/>
    </sheetView>
  </sheetViews>
  <sheetFormatPr defaultRowHeight="14.5" x14ac:dyDescent="0.35"/>
  <cols>
    <col min="1" max="1" width="41.81640625" customWidth="1"/>
    <col min="2" max="2" width="16.36328125" customWidth="1"/>
    <col min="3" max="12" width="14.90625" customWidth="1"/>
    <col min="13" max="13" width="54.54296875" customWidth="1"/>
  </cols>
  <sheetData>
    <row r="1" spans="1:13" ht="18.5" x14ac:dyDescent="0.45">
      <c r="A1" s="39" t="s">
        <v>177</v>
      </c>
      <c r="B1" s="46"/>
      <c r="C1" s="46"/>
      <c r="D1" s="46"/>
      <c r="E1" s="46"/>
      <c r="F1" s="46"/>
      <c r="G1" s="46"/>
      <c r="H1" s="46"/>
      <c r="I1" s="46"/>
      <c r="J1" s="46"/>
      <c r="K1" s="46"/>
      <c r="L1" s="46"/>
      <c r="M1" s="46"/>
    </row>
    <row r="2" spans="1:13" x14ac:dyDescent="0.35">
      <c r="A2" s="40" t="s">
        <v>178</v>
      </c>
      <c r="B2" s="46"/>
      <c r="C2" s="46"/>
      <c r="D2" s="46"/>
      <c r="E2" s="46"/>
      <c r="F2" s="46"/>
      <c r="G2" s="46"/>
      <c r="H2" s="46"/>
      <c r="I2" s="46"/>
      <c r="J2" s="46"/>
      <c r="K2" s="46"/>
      <c r="L2" s="46"/>
      <c r="M2" s="46"/>
    </row>
    <row r="3" spans="1:13" x14ac:dyDescent="0.35">
      <c r="A3" s="41" t="s">
        <v>179</v>
      </c>
      <c r="B3" s="46"/>
      <c r="C3" s="46"/>
      <c r="D3" s="46"/>
      <c r="E3" s="46"/>
      <c r="F3" s="46"/>
      <c r="G3" s="46"/>
      <c r="H3" s="46"/>
      <c r="I3" s="46"/>
      <c r="J3" s="46"/>
      <c r="K3" s="46"/>
      <c r="L3" s="46"/>
      <c r="M3" s="46"/>
    </row>
    <row r="4" spans="1:13" x14ac:dyDescent="0.35">
      <c r="B4" s="46"/>
      <c r="C4" s="46"/>
      <c r="D4" s="46"/>
      <c r="E4" s="46"/>
      <c r="F4" s="46"/>
      <c r="G4" s="46"/>
      <c r="H4" s="46"/>
      <c r="I4" s="46"/>
      <c r="J4" s="46"/>
      <c r="K4" s="46"/>
      <c r="L4" s="46"/>
      <c r="M4" s="46"/>
    </row>
    <row r="5" spans="1:13" x14ac:dyDescent="0.35">
      <c r="A5" s="66" t="s">
        <v>180</v>
      </c>
      <c r="B5" s="46"/>
      <c r="C5" s="46"/>
      <c r="D5" s="46"/>
      <c r="E5" s="46"/>
      <c r="F5" s="46"/>
      <c r="G5" s="46"/>
      <c r="H5" s="46"/>
      <c r="I5" s="46"/>
      <c r="J5" s="46"/>
      <c r="K5" s="46"/>
      <c r="L5" s="46"/>
      <c r="M5" s="46"/>
    </row>
    <row r="6" spans="1:13" x14ac:dyDescent="0.35">
      <c r="A6" s="47" t="s">
        <v>181</v>
      </c>
      <c r="B6" s="47" t="s">
        <v>182</v>
      </c>
      <c r="C6" s="47" t="s">
        <v>183</v>
      </c>
      <c r="D6" s="47" t="s">
        <v>184</v>
      </c>
      <c r="E6" s="46"/>
      <c r="F6" s="46"/>
      <c r="G6" s="46"/>
      <c r="H6" s="46"/>
      <c r="I6" s="46"/>
      <c r="J6" s="46"/>
      <c r="K6" s="46"/>
      <c r="L6" s="46"/>
      <c r="M6" s="46"/>
    </row>
    <row r="7" spans="1:13" x14ac:dyDescent="0.35">
      <c r="A7" s="46" t="s">
        <v>185</v>
      </c>
      <c r="B7" s="46" t="s">
        <v>186</v>
      </c>
      <c r="C7" s="46" t="s">
        <v>187</v>
      </c>
      <c r="D7" s="46" t="s">
        <v>188</v>
      </c>
      <c r="E7" s="46"/>
      <c r="F7" s="46"/>
      <c r="G7" s="46"/>
      <c r="H7" s="46"/>
      <c r="I7" s="46"/>
      <c r="J7" s="46"/>
      <c r="K7" s="46"/>
      <c r="L7" s="46"/>
      <c r="M7" s="46"/>
    </row>
    <row r="8" spans="1:13" x14ac:dyDescent="0.35">
      <c r="A8" s="46" t="s">
        <v>189</v>
      </c>
      <c r="B8" s="46" t="s">
        <v>190</v>
      </c>
      <c r="C8" s="46" t="s">
        <v>191</v>
      </c>
      <c r="D8" s="46" t="s">
        <v>192</v>
      </c>
      <c r="E8" s="46"/>
      <c r="F8" s="46"/>
      <c r="G8" s="46"/>
      <c r="H8" s="46"/>
      <c r="I8" s="46"/>
      <c r="J8" s="46"/>
      <c r="K8" s="46"/>
      <c r="L8" s="46"/>
      <c r="M8" s="46"/>
    </row>
    <row r="9" spans="1:13" x14ac:dyDescent="0.35">
      <c r="A9" s="46" t="s">
        <v>193</v>
      </c>
      <c r="B9" s="46" t="s">
        <v>194</v>
      </c>
      <c r="C9" s="46" t="s">
        <v>195</v>
      </c>
      <c r="D9" s="46" t="s">
        <v>192</v>
      </c>
      <c r="E9" s="46"/>
      <c r="F9" s="46"/>
      <c r="G9" s="46"/>
      <c r="H9" s="46"/>
      <c r="I9" s="46"/>
      <c r="J9" s="46"/>
      <c r="K9" s="46"/>
      <c r="L9" s="46"/>
      <c r="M9" s="46"/>
    </row>
    <row r="10" spans="1:13" x14ac:dyDescent="0.35">
      <c r="A10" s="46" t="s">
        <v>196</v>
      </c>
      <c r="B10" s="46" t="s">
        <v>197</v>
      </c>
      <c r="C10" s="46" t="s">
        <v>198</v>
      </c>
      <c r="D10" s="46" t="s">
        <v>192</v>
      </c>
      <c r="E10" s="46"/>
      <c r="F10" s="46"/>
      <c r="G10" s="46"/>
      <c r="H10" s="46"/>
      <c r="I10" s="46"/>
      <c r="J10" s="46"/>
      <c r="K10" s="46"/>
      <c r="L10" s="46"/>
      <c r="M10" s="46"/>
    </row>
    <row r="11" spans="1:13" x14ac:dyDescent="0.35">
      <c r="A11" s="46" t="s">
        <v>199</v>
      </c>
      <c r="B11" s="46" t="s">
        <v>200</v>
      </c>
      <c r="C11" s="46" t="s">
        <v>201</v>
      </c>
      <c r="D11" s="46" t="s">
        <v>192</v>
      </c>
      <c r="E11" s="46"/>
      <c r="F11" s="46"/>
      <c r="G11" s="46"/>
      <c r="H11" s="46"/>
      <c r="I11" s="46"/>
      <c r="J11" s="46"/>
      <c r="K11" s="46"/>
      <c r="L11" s="46"/>
      <c r="M11" s="46"/>
    </row>
    <row r="12" spans="1:13" x14ac:dyDescent="0.35">
      <c r="A12" s="46" t="s">
        <v>202</v>
      </c>
      <c r="B12" s="46" t="s">
        <v>203</v>
      </c>
      <c r="C12" s="46" t="s">
        <v>136</v>
      </c>
      <c r="D12" s="46" t="s">
        <v>188</v>
      </c>
      <c r="E12" s="46"/>
      <c r="F12" s="46"/>
      <c r="G12" s="46"/>
      <c r="H12" s="46"/>
      <c r="I12" s="46"/>
      <c r="J12" s="46"/>
      <c r="K12" s="46"/>
      <c r="L12" s="46"/>
      <c r="M12" s="46"/>
    </row>
    <row r="13" spans="1:13" x14ac:dyDescent="0.35">
      <c r="A13" s="46" t="s">
        <v>204</v>
      </c>
      <c r="B13" s="46" t="s">
        <v>205</v>
      </c>
      <c r="C13" s="46" t="s">
        <v>136</v>
      </c>
      <c r="D13" s="46" t="s">
        <v>188</v>
      </c>
      <c r="E13" s="46"/>
      <c r="F13" s="46"/>
      <c r="G13" s="46"/>
      <c r="H13" s="46"/>
      <c r="I13" s="46"/>
      <c r="J13" s="46"/>
      <c r="K13" s="46"/>
      <c r="L13" s="46"/>
      <c r="M13" s="46"/>
    </row>
    <row r="14" spans="1:13" x14ac:dyDescent="0.35">
      <c r="A14" s="46" t="s">
        <v>206</v>
      </c>
      <c r="B14" s="46" t="s">
        <v>207</v>
      </c>
      <c r="C14" s="46" t="s">
        <v>136</v>
      </c>
      <c r="D14" s="46" t="s">
        <v>188</v>
      </c>
      <c r="E14" s="46"/>
      <c r="F14" s="46"/>
      <c r="G14" s="46"/>
      <c r="H14" s="46"/>
      <c r="I14" s="46"/>
      <c r="J14" s="46"/>
      <c r="K14" s="46"/>
      <c r="L14" s="46"/>
      <c r="M14" s="46"/>
    </row>
    <row r="15" spans="1:13" x14ac:dyDescent="0.35">
      <c r="A15" s="46"/>
      <c r="B15" s="46"/>
      <c r="C15" s="46"/>
      <c r="D15" s="46"/>
      <c r="E15" s="46"/>
      <c r="F15" s="46"/>
      <c r="G15" s="46"/>
      <c r="H15" s="46"/>
      <c r="I15" s="46"/>
      <c r="J15" s="46"/>
      <c r="K15" s="46"/>
      <c r="L15" s="46"/>
      <c r="M15" s="46"/>
    </row>
    <row r="16" spans="1:13" x14ac:dyDescent="0.35">
      <c r="A16" s="66" t="s">
        <v>208</v>
      </c>
      <c r="B16" s="46"/>
      <c r="C16" s="46"/>
      <c r="D16" s="46"/>
      <c r="E16" s="46"/>
      <c r="F16" s="46"/>
      <c r="G16" s="46"/>
      <c r="H16" s="46"/>
      <c r="I16" s="46"/>
      <c r="J16" s="46"/>
      <c r="K16" s="46"/>
      <c r="L16" s="46"/>
      <c r="M16" s="46"/>
    </row>
    <row r="17" spans="1:13" x14ac:dyDescent="0.35">
      <c r="A17" s="46" t="s">
        <v>209</v>
      </c>
      <c r="B17" s="48">
        <v>0</v>
      </c>
      <c r="C17" s="46"/>
      <c r="D17" s="46"/>
      <c r="E17" s="46"/>
      <c r="F17" s="46"/>
      <c r="G17" s="46"/>
      <c r="H17" s="46"/>
      <c r="I17" s="46"/>
      <c r="J17" s="46"/>
      <c r="K17" s="46"/>
      <c r="L17" s="46"/>
      <c r="M17" s="46"/>
    </row>
    <row r="18" spans="1:13" x14ac:dyDescent="0.35">
      <c r="A18" s="46" t="s">
        <v>210</v>
      </c>
      <c r="B18" s="49">
        <f>'Tham so phan bo (Constraints)'!B7</f>
        <v>60888122</v>
      </c>
      <c r="C18" s="46"/>
      <c r="D18" s="46"/>
      <c r="E18" s="46"/>
      <c r="F18" s="46"/>
      <c r="G18" s="46"/>
      <c r="H18" s="46"/>
      <c r="I18" s="46"/>
      <c r="J18" s="46"/>
      <c r="K18" s="46"/>
      <c r="L18" s="46"/>
      <c r="M18" s="46"/>
    </row>
    <row r="19" spans="1:13" x14ac:dyDescent="0.35">
      <c r="A19" s="46" t="s">
        <v>211</v>
      </c>
      <c r="B19" s="50">
        <f>'Tham so phan bo (Constraints)'!B10</f>
        <v>0.2</v>
      </c>
      <c r="C19" s="46"/>
      <c r="D19" s="46"/>
      <c r="E19" s="46"/>
      <c r="F19" s="46"/>
      <c r="G19" s="46"/>
      <c r="H19" s="46"/>
      <c r="I19" s="46"/>
      <c r="J19" s="46"/>
      <c r="K19" s="46"/>
      <c r="L19" s="46"/>
      <c r="M19" s="46"/>
    </row>
    <row r="20" spans="1:13" x14ac:dyDescent="0.35">
      <c r="A20" s="47" t="s">
        <v>212</v>
      </c>
      <c r="B20" s="47" t="s">
        <v>213</v>
      </c>
      <c r="C20" s="47" t="s">
        <v>214</v>
      </c>
      <c r="D20" s="47" t="s">
        <v>215</v>
      </c>
      <c r="E20" s="47" t="s">
        <v>216</v>
      </c>
      <c r="F20" s="47" t="s">
        <v>217</v>
      </c>
      <c r="G20" s="51" t="s">
        <v>218</v>
      </c>
      <c r="H20" s="47" t="s">
        <v>219</v>
      </c>
      <c r="I20" s="47" t="s">
        <v>220</v>
      </c>
      <c r="J20" s="47" t="s">
        <v>221</v>
      </c>
      <c r="K20" s="47" t="s">
        <v>222</v>
      </c>
      <c r="L20" s="47" t="s">
        <v>223</v>
      </c>
      <c r="M20" s="47" t="s">
        <v>224</v>
      </c>
    </row>
    <row r="21" spans="1:13" x14ac:dyDescent="0.35">
      <c r="A21" s="52" t="str">
        <f>'Phan bo hien tai (Allocation)'!A5</f>
        <v>BSR</v>
      </c>
      <c r="B21" s="52" t="str">
        <f>'Phan bo hien tai (Allocation)'!B5</f>
        <v>Dau khi</v>
      </c>
      <c r="C21" s="49">
        <f>'Phan bo hien tai (Allocation)'!C5</f>
        <v>100</v>
      </c>
      <c r="D21" s="49">
        <f>'Phan bo hien tai (Allocation)'!F5</f>
        <v>31300</v>
      </c>
      <c r="E21" s="53">
        <f>C21*D21</f>
        <v>3130000</v>
      </c>
      <c r="F21" s="54">
        <f>E21/$B$18</f>
        <v>5.1405756938931374E-2</v>
      </c>
      <c r="G21" s="48"/>
      <c r="H21" s="55" t="str">
        <f>IFERROR(1/G21,"")</f>
        <v/>
      </c>
      <c r="I21" s="54" t="str">
        <f>IFERROR((1-$B$17)*H21/SUM($H$21:$H$28),"")</f>
        <v/>
      </c>
      <c r="J21" s="54" t="str">
        <f>IF(N(I21)=0,"",MIN(I21,$B$19))</f>
        <v/>
      </c>
      <c r="K21" s="54" t="str">
        <f>IFERROR(F21-J21,"")</f>
        <v/>
      </c>
      <c r="L21" s="53" t="str">
        <f>IFERROR(K21*$B$18,"")</f>
        <v/>
      </c>
      <c r="M21" s="46" t="s">
        <v>225</v>
      </c>
    </row>
    <row r="22" spans="1:13" x14ac:dyDescent="0.35">
      <c r="A22" s="52" t="str">
        <f>'Phan bo hien tai (Allocation)'!A6</f>
        <v>DHC</v>
      </c>
      <c r="B22" s="52" t="str">
        <f>'Phan bo hien tai (Allocation)'!B6</f>
        <v>Giay</v>
      </c>
      <c r="C22" s="49">
        <f>'Phan bo hien tai (Allocation)'!C6</f>
        <v>200</v>
      </c>
      <c r="D22" s="49">
        <f>'Phan bo hien tai (Allocation)'!F6</f>
        <v>37300</v>
      </c>
      <c r="E22" s="53">
        <f>C22*D22</f>
        <v>7460000</v>
      </c>
      <c r="F22" s="54">
        <f>E22/$B$18</f>
        <v>0.12251979129853931</v>
      </c>
      <c r="G22" s="48"/>
      <c r="H22" s="55" t="str">
        <f>IFERROR(1/G22,"")</f>
        <v/>
      </c>
      <c r="I22" s="54" t="str">
        <f>IFERROR((1-$B$17)*H22/SUM($H$21:$H$28),"")</f>
        <v/>
      </c>
      <c r="J22" s="54" t="str">
        <f t="shared" ref="J22:J25" si="0">IF(N(I22)=0,"",MIN(I22,$B$19))</f>
        <v/>
      </c>
      <c r="K22" s="54" t="str">
        <f>IFERROR(F22-J22,"")</f>
        <v/>
      </c>
      <c r="L22" s="53" t="str">
        <f>IFERROR(K22*$B$18,"")</f>
        <v/>
      </c>
      <c r="M22" s="46" t="s">
        <v>226</v>
      </c>
    </row>
    <row r="23" spans="1:13" x14ac:dyDescent="0.35">
      <c r="A23" s="52" t="str">
        <f>'Phan bo hien tai (Allocation)'!A7</f>
        <v>MSB</v>
      </c>
      <c r="B23" s="52" t="str">
        <f>'Phan bo hien tai (Allocation)'!B7</f>
        <v>Ngan hang</v>
      </c>
      <c r="C23" s="49">
        <f>'Phan bo hien tai (Allocation)'!C7</f>
        <v>840</v>
      </c>
      <c r="D23" s="49">
        <f>'Phan bo hien tai (Allocation)'!F7</f>
        <v>12850</v>
      </c>
      <c r="E23" s="53">
        <f>C23*D23</f>
        <v>10794000</v>
      </c>
      <c r="F23" s="54">
        <f>E23/$B$18</f>
        <v>0.17727595539898569</v>
      </c>
      <c r="G23" s="48"/>
      <c r="H23" s="55" t="str">
        <f>IFERROR(1/G23,"")</f>
        <v/>
      </c>
      <c r="I23" s="54" t="str">
        <f>IFERROR((1-$B$17)*H23/SUM($H$21:$H$28),"")</f>
        <v/>
      </c>
      <c r="J23" s="54" t="str">
        <f t="shared" si="0"/>
        <v/>
      </c>
      <c r="K23" s="54" t="str">
        <f>IFERROR(F23-J23,"")</f>
        <v/>
      </c>
      <c r="L23" s="53" t="str">
        <f>IFERROR(K23*$B$18,"")</f>
        <v/>
      </c>
      <c r="M23" s="46" t="s">
        <v>227</v>
      </c>
    </row>
    <row r="24" spans="1:13" x14ac:dyDescent="0.35">
      <c r="A24" s="52" t="str">
        <f>'Phan bo hien tai (Allocation)'!A8</f>
        <v>VHM</v>
      </c>
      <c r="B24" s="52" t="str">
        <f>'Phan bo hien tai (Allocation)'!B8</f>
        <v>Bat dong san</v>
      </c>
      <c r="C24" s="49">
        <f>'Phan bo hien tai (Allocation)'!C8</f>
        <v>50</v>
      </c>
      <c r="D24" s="49">
        <f>'Phan bo hien tai (Allocation)'!F8</f>
        <v>71600</v>
      </c>
      <c r="E24" s="53">
        <f>C24*D24</f>
        <v>3580000</v>
      </c>
      <c r="F24" s="54">
        <f>E24/$B$18</f>
        <v>5.8796360971685085E-2</v>
      </c>
      <c r="G24" s="48"/>
      <c r="H24" s="55" t="str">
        <f>IFERROR(1/G24,"")</f>
        <v/>
      </c>
      <c r="I24" s="54" t="str">
        <f>IFERROR((1-$B$17)*H24/SUM($H$21:$H$28),"")</f>
        <v/>
      </c>
      <c r="J24" s="54" t="str">
        <f t="shared" si="0"/>
        <v/>
      </c>
      <c r="K24" s="54" t="str">
        <f>IFERROR(F24-J24,"")</f>
        <v/>
      </c>
      <c r="L24" s="53" t="str">
        <f>IFERROR(K24*$B$18,"")</f>
        <v/>
      </c>
      <c r="M24" s="46" t="s">
        <v>228</v>
      </c>
    </row>
    <row r="25" spans="1:13" x14ac:dyDescent="0.35">
      <c r="A25" s="56" t="s">
        <v>229</v>
      </c>
      <c r="B25" s="56"/>
      <c r="C25" s="57"/>
      <c r="D25" s="57"/>
      <c r="E25" s="53">
        <f>C25*D25</f>
        <v>0</v>
      </c>
      <c r="F25" s="54">
        <f>E25/$B$18</f>
        <v>0</v>
      </c>
      <c r="G25" s="48"/>
      <c r="H25" s="55" t="str">
        <f>IFERROR(1/G25,"")</f>
        <v/>
      </c>
      <c r="I25" s="54" t="str">
        <f>IFERROR((1-$B$17)*H25/SUM($H$21:$H$28),"")</f>
        <v/>
      </c>
      <c r="J25" s="54" t="str">
        <f>IF(N(I25)=0,"",MIN(I25,$B$19))</f>
        <v/>
      </c>
      <c r="K25" s="54" t="str">
        <f>IFERROR(F25-J25,"")</f>
        <v/>
      </c>
      <c r="L25" s="53" t="str">
        <f>IFERROR(K25*$B$18,"")</f>
        <v/>
      </c>
      <c r="M25" s="46" t="s">
        <v>230</v>
      </c>
    </row>
    <row r="26" spans="1:13" x14ac:dyDescent="0.35">
      <c r="A26" s="56" t="s">
        <v>231</v>
      </c>
      <c r="B26" s="56"/>
      <c r="C26" s="57"/>
      <c r="D26" s="57"/>
      <c r="E26" s="53">
        <f t="shared" ref="E26:E28" si="1">C26*D26</f>
        <v>0</v>
      </c>
      <c r="F26" s="54">
        <f t="shared" ref="F26:F29" si="2">E26/$B$18</f>
        <v>0</v>
      </c>
      <c r="G26" s="48"/>
      <c r="H26" s="55" t="str">
        <f t="shared" ref="H26:H28" si="3">IFERROR(1/G26,"")</f>
        <v/>
      </c>
      <c r="I26" s="54" t="str">
        <f t="shared" ref="I26:I28" si="4">IFERROR((1-$B$17)*H26/SUM($H$21:$H$28),"")</f>
        <v/>
      </c>
      <c r="J26" s="54" t="str">
        <f t="shared" ref="J26:J28" si="5">IF(N(I26)=0,"",MIN(I26,$B$19))</f>
        <v/>
      </c>
      <c r="K26" s="54" t="str">
        <f t="shared" ref="K26:K29" si="6">IFERROR(F26-J26,"")</f>
        <v/>
      </c>
      <c r="L26" s="53" t="str">
        <f t="shared" ref="L26:L29" si="7">IFERROR(K26*$B$18,"")</f>
        <v/>
      </c>
      <c r="M26" s="46" t="s">
        <v>230</v>
      </c>
    </row>
    <row r="27" spans="1:13" x14ac:dyDescent="0.35">
      <c r="A27" s="56" t="s">
        <v>232</v>
      </c>
      <c r="B27" s="56"/>
      <c r="C27" s="57"/>
      <c r="D27" s="57"/>
      <c r="E27" s="53">
        <f t="shared" si="1"/>
        <v>0</v>
      </c>
      <c r="F27" s="54">
        <f t="shared" si="2"/>
        <v>0</v>
      </c>
      <c r="G27" s="48"/>
      <c r="H27" s="55" t="str">
        <f t="shared" si="3"/>
        <v/>
      </c>
      <c r="I27" s="54" t="str">
        <f t="shared" si="4"/>
        <v/>
      </c>
      <c r="J27" s="54" t="str">
        <f t="shared" si="5"/>
        <v/>
      </c>
      <c r="K27" s="54" t="str">
        <f t="shared" si="6"/>
        <v/>
      </c>
      <c r="L27" s="53" t="str">
        <f t="shared" si="7"/>
        <v/>
      </c>
      <c r="M27" s="46" t="s">
        <v>230</v>
      </c>
    </row>
    <row r="28" spans="1:13" x14ac:dyDescent="0.35">
      <c r="A28" s="56" t="s">
        <v>233</v>
      </c>
      <c r="B28" s="56"/>
      <c r="C28" s="57"/>
      <c r="D28" s="57"/>
      <c r="E28" s="53">
        <f t="shared" si="1"/>
        <v>0</v>
      </c>
      <c r="F28" s="54">
        <f t="shared" si="2"/>
        <v>0</v>
      </c>
      <c r="G28" s="48"/>
      <c r="H28" s="55" t="str">
        <f t="shared" si="3"/>
        <v/>
      </c>
      <c r="I28" s="54" t="str">
        <f t="shared" si="4"/>
        <v/>
      </c>
      <c r="J28" s="54" t="str">
        <f t="shared" si="5"/>
        <v/>
      </c>
      <c r="K28" s="54" t="str">
        <f t="shared" si="6"/>
        <v/>
      </c>
      <c r="L28" s="53" t="str">
        <f t="shared" si="7"/>
        <v/>
      </c>
      <c r="M28" s="46" t="s">
        <v>230</v>
      </c>
    </row>
    <row r="29" spans="1:13" x14ac:dyDescent="0.35">
      <c r="A29" s="67" t="s">
        <v>73</v>
      </c>
      <c r="B29" s="46"/>
      <c r="C29" s="46"/>
      <c r="D29" s="46"/>
      <c r="E29" s="49">
        <f>'Phan bo hien tai (Allocation)'!G9</f>
        <v>35924122</v>
      </c>
      <c r="F29" s="54">
        <f>E29/$B$18</f>
        <v>0.59000213539185853</v>
      </c>
      <c r="G29" s="46"/>
      <c r="H29" s="46"/>
      <c r="I29" s="46"/>
      <c r="J29" s="54">
        <f>$B$17</f>
        <v>0</v>
      </c>
      <c r="K29" s="58">
        <f>F29-J29</f>
        <v>0.59000213539185853</v>
      </c>
      <c r="L29" s="59">
        <f>K29*$B$18</f>
        <v>35924122</v>
      </c>
      <c r="M29" s="46" t="s">
        <v>234</v>
      </c>
    </row>
    <row r="30" spans="1:13" x14ac:dyDescent="0.35">
      <c r="A30" s="68" t="s">
        <v>235</v>
      </c>
      <c r="B30" s="46"/>
      <c r="C30" s="46"/>
      <c r="D30" s="46"/>
      <c r="E30" s="60">
        <f>SUM(E21:E29)</f>
        <v>60888122</v>
      </c>
      <c r="F30" s="61">
        <f>SUM(F21:F29)</f>
        <v>1</v>
      </c>
      <c r="G30" s="46"/>
      <c r="H30" s="46"/>
      <c r="I30" s="46"/>
      <c r="J30" s="61">
        <f>SUM(J21:J29)</f>
        <v>0</v>
      </c>
      <c r="K30" s="61">
        <f>F30-J30</f>
        <v>1</v>
      </c>
      <c r="L30" s="60">
        <f>K30*$B$18</f>
        <v>60888122</v>
      </c>
      <c r="M30" s="62" t="s">
        <v>236</v>
      </c>
    </row>
    <row r="31" spans="1:13" x14ac:dyDescent="0.35">
      <c r="A31" s="46"/>
      <c r="B31" s="46"/>
      <c r="C31" s="46"/>
      <c r="D31" s="46"/>
      <c r="E31" s="46"/>
      <c r="F31" s="46"/>
      <c r="G31" s="46"/>
      <c r="H31" s="46"/>
      <c r="I31" s="46"/>
      <c r="J31" s="46"/>
      <c r="K31" s="46"/>
      <c r="L31" s="46"/>
      <c r="M31" s="46"/>
    </row>
    <row r="32" spans="1:13" x14ac:dyDescent="0.35">
      <c r="A32" s="66" t="s">
        <v>237</v>
      </c>
      <c r="B32" s="46"/>
      <c r="C32" s="46"/>
      <c r="D32" s="46"/>
      <c r="E32" s="46"/>
      <c r="F32" s="46"/>
      <c r="G32" s="46"/>
      <c r="H32" s="46"/>
      <c r="I32" s="46"/>
      <c r="J32" s="46"/>
      <c r="K32" s="46"/>
      <c r="L32" s="46"/>
      <c r="M32" s="46"/>
    </row>
    <row r="33" spans="1:13" x14ac:dyDescent="0.35">
      <c r="A33" s="46" t="s">
        <v>238</v>
      </c>
      <c r="B33" s="53">
        <f>E29</f>
        <v>35924122</v>
      </c>
      <c r="C33" s="46"/>
      <c r="D33" s="46"/>
      <c r="E33" s="46"/>
      <c r="F33" s="46"/>
      <c r="G33" s="46"/>
      <c r="H33" s="46"/>
      <c r="I33" s="46"/>
      <c r="J33" s="46"/>
      <c r="K33" s="46"/>
      <c r="L33" s="46"/>
      <c r="M33" s="46"/>
    </row>
    <row r="34" spans="1:13" x14ac:dyDescent="0.35">
      <c r="A34" s="46" t="s">
        <v>239</v>
      </c>
      <c r="B34" s="63">
        <v>0</v>
      </c>
      <c r="C34" s="46"/>
      <c r="D34" s="46"/>
      <c r="E34" s="46"/>
      <c r="F34" s="46"/>
      <c r="G34" s="46"/>
      <c r="H34" s="46"/>
      <c r="I34" s="46"/>
      <c r="J34" s="46"/>
      <c r="K34" s="46"/>
      <c r="L34" s="46"/>
      <c r="M34" s="46"/>
    </row>
    <row r="35" spans="1:13" x14ac:dyDescent="0.35">
      <c r="A35" s="46" t="s">
        <v>240</v>
      </c>
      <c r="B35" s="59">
        <f>B33-B34</f>
        <v>35924122</v>
      </c>
      <c r="C35" s="46"/>
      <c r="D35" s="46"/>
      <c r="E35" s="46"/>
      <c r="F35" s="46"/>
      <c r="G35" s="46"/>
      <c r="H35" s="46"/>
      <c r="I35" s="46"/>
      <c r="J35" s="46"/>
      <c r="K35" s="46"/>
      <c r="L35" s="46"/>
      <c r="M35" s="46"/>
    </row>
    <row r="36" spans="1:13" x14ac:dyDescent="0.35">
      <c r="A36" s="46" t="s">
        <v>241</v>
      </c>
      <c r="B36" s="49">
        <f>'Tham so phan bo (Constraints)'!B12</f>
        <v>5000000</v>
      </c>
      <c r="C36" s="46"/>
      <c r="D36" s="46"/>
      <c r="E36" s="46"/>
      <c r="F36" s="46"/>
      <c r="G36" s="46"/>
      <c r="H36" s="46"/>
      <c r="I36" s="46"/>
      <c r="J36" s="46"/>
      <c r="K36" s="46"/>
      <c r="L36" s="46"/>
      <c r="M36" s="46"/>
    </row>
    <row r="37" spans="1:13" x14ac:dyDescent="0.35">
      <c r="A37" s="46" t="s">
        <v>242</v>
      </c>
      <c r="B37" s="64">
        <f>'Tham so phan bo (Constraints)'!B8-'Tham so phan bo (Constraints)'!B9</f>
        <v>4</v>
      </c>
      <c r="C37" s="46"/>
      <c r="D37" s="46"/>
      <c r="E37" s="46"/>
      <c r="F37" s="46"/>
      <c r="G37" s="46"/>
      <c r="H37" s="46"/>
      <c r="I37" s="46"/>
      <c r="J37" s="46"/>
      <c r="K37" s="46"/>
      <c r="L37" s="46"/>
      <c r="M37" s="46"/>
    </row>
    <row r="38" spans="1:13" x14ac:dyDescent="0.35">
      <c r="A38" s="46" t="s">
        <v>243</v>
      </c>
      <c r="B38" s="53">
        <f>IFERROR(B35/B37,"")</f>
        <v>8981030.5</v>
      </c>
      <c r="C38" s="46"/>
      <c r="D38" s="46"/>
      <c r="E38" s="46"/>
      <c r="F38" s="46"/>
      <c r="G38" s="46"/>
      <c r="H38" s="46"/>
      <c r="I38" s="46"/>
      <c r="J38" s="46"/>
      <c r="K38" s="46"/>
      <c r="L38" s="46"/>
      <c r="M38" s="46"/>
    </row>
    <row r="39" spans="1:13" x14ac:dyDescent="0.35">
      <c r="A39" s="46" t="s">
        <v>244</v>
      </c>
      <c r="B39" s="64">
        <f>ROUNDDOWN(B35/B36,0)</f>
        <v>7</v>
      </c>
      <c r="C39" s="46"/>
      <c r="D39" s="46"/>
      <c r="E39" s="46"/>
      <c r="F39" s="46"/>
      <c r="G39" s="46"/>
      <c r="H39" s="46"/>
      <c r="I39" s="46"/>
      <c r="J39" s="46"/>
      <c r="K39" s="46"/>
      <c r="L39" s="46"/>
      <c r="M39" s="46"/>
    </row>
    <row r="40" spans="1:13" x14ac:dyDescent="0.35">
      <c r="A40" s="46" t="s">
        <v>245</v>
      </c>
      <c r="B40" s="50">
        <f>'Tham so phan bo (Constraints)'!B11</f>
        <v>0.4</v>
      </c>
      <c r="C40" s="46"/>
      <c r="D40" s="46"/>
      <c r="E40" s="46"/>
      <c r="F40" s="46"/>
      <c r="G40" s="46"/>
      <c r="H40" s="46"/>
      <c r="I40" s="46"/>
      <c r="J40" s="46"/>
      <c r="K40" s="46"/>
      <c r="L40" s="46"/>
      <c r="M40" s="46"/>
    </row>
    <row r="41" spans="1:13" x14ac:dyDescent="0.35">
      <c r="A41" s="47" t="s">
        <v>213</v>
      </c>
      <c r="B41" s="47" t="s">
        <v>217</v>
      </c>
      <c r="C41" s="47" t="s">
        <v>246</v>
      </c>
      <c r="D41" s="47" t="s">
        <v>247</v>
      </c>
      <c r="E41" s="46"/>
      <c r="F41" s="46"/>
      <c r="G41" s="46"/>
      <c r="H41" s="46"/>
      <c r="I41" s="46"/>
      <c r="J41" s="46"/>
      <c r="K41" s="46"/>
      <c r="L41" s="46"/>
      <c r="M41" s="46"/>
    </row>
    <row r="42" spans="1:13" x14ac:dyDescent="0.35">
      <c r="A42" s="52" t="str">
        <f>'Phan bo hien tai (Allocation)'!A14</f>
        <v>Dau khi</v>
      </c>
      <c r="B42" s="54">
        <f>'Phan bo hien tai (Allocation)'!B14/$B$18</f>
        <v>5.1405756938931374E-2</v>
      </c>
      <c r="C42" s="54">
        <f>$B$40-B42</f>
        <v>0.34859424306106868</v>
      </c>
      <c r="D42" s="53">
        <f>C42*$B$18</f>
        <v>21225248.800000004</v>
      </c>
      <c r="E42" s="46"/>
      <c r="F42" s="46"/>
      <c r="G42" s="46"/>
      <c r="H42" s="46"/>
      <c r="I42" s="46"/>
      <c r="J42" s="46"/>
      <c r="K42" s="46"/>
      <c r="L42" s="46"/>
      <c r="M42" s="46"/>
    </row>
    <row r="43" spans="1:13" x14ac:dyDescent="0.35">
      <c r="A43" s="52" t="str">
        <f>'Phan bo hien tai (Allocation)'!A15</f>
        <v>Giay</v>
      </c>
      <c r="B43" s="54">
        <f>'Phan bo hien tai (Allocation)'!B15/$B$18</f>
        <v>0.12251979129853931</v>
      </c>
      <c r="C43" s="54">
        <f>$B$40-B43</f>
        <v>0.27748020870146073</v>
      </c>
      <c r="D43" s="53">
        <f>C43*$B$18</f>
        <v>16895248.800000001</v>
      </c>
      <c r="E43" s="46"/>
      <c r="F43" s="46"/>
      <c r="G43" s="46"/>
      <c r="H43" s="46"/>
      <c r="I43" s="46"/>
      <c r="J43" s="46"/>
      <c r="K43" s="46"/>
      <c r="L43" s="46"/>
      <c r="M43" s="46"/>
    </row>
    <row r="44" spans="1:13" x14ac:dyDescent="0.35">
      <c r="A44" s="52" t="str">
        <f>'Phan bo hien tai (Allocation)'!A16</f>
        <v>Ngan hang</v>
      </c>
      <c r="B44" s="54">
        <f>'Phan bo hien tai (Allocation)'!B16/$B$18</f>
        <v>0.17727595539898569</v>
      </c>
      <c r="C44" s="54">
        <f>$B$40-B44</f>
        <v>0.22272404460101433</v>
      </c>
      <c r="D44" s="53">
        <f>C44*$B$18</f>
        <v>13561248.800000003</v>
      </c>
      <c r="E44" s="46"/>
      <c r="F44" s="46"/>
      <c r="G44" s="46"/>
      <c r="H44" s="46"/>
      <c r="I44" s="46"/>
      <c r="J44" s="46"/>
      <c r="K44" s="46"/>
      <c r="L44" s="46"/>
      <c r="M44" s="46"/>
    </row>
    <row r="45" spans="1:13" x14ac:dyDescent="0.35">
      <c r="A45" s="52" t="str">
        <f>'Phan bo hien tai (Allocation)'!A17</f>
        <v>Bat dong san</v>
      </c>
      <c r="B45" s="54">
        <f>'Phan bo hien tai (Allocation)'!B17/$B$18</f>
        <v>5.8796360971685085E-2</v>
      </c>
      <c r="C45" s="54">
        <f>$B$40-B45</f>
        <v>0.34120363902831496</v>
      </c>
      <c r="D45" s="53">
        <f>C45*$B$18</f>
        <v>20775248.800000004</v>
      </c>
      <c r="E45" s="46"/>
      <c r="F45" s="46"/>
      <c r="G45" s="46"/>
      <c r="H45" s="46"/>
      <c r="I45" s="46"/>
      <c r="J45" s="46"/>
      <c r="K45" s="46"/>
      <c r="L45" s="46"/>
      <c r="M45" s="46"/>
    </row>
    <row r="46" spans="1:13" x14ac:dyDescent="0.35">
      <c r="A46" s="69" t="s">
        <v>248</v>
      </c>
      <c r="B46" s="46"/>
      <c r="C46" s="46"/>
      <c r="D46" s="46"/>
      <c r="E46" s="46"/>
      <c r="F46" s="46"/>
      <c r="G46" s="46"/>
      <c r="H46" s="46"/>
      <c r="I46" s="46"/>
      <c r="J46" s="46"/>
      <c r="K46" s="46"/>
      <c r="L46" s="46"/>
      <c r="M46" s="46"/>
    </row>
    <row r="47" spans="1:13" x14ac:dyDescent="0.35">
      <c r="A47" s="46"/>
      <c r="B47" s="46"/>
      <c r="C47" s="46"/>
      <c r="D47" s="46"/>
      <c r="E47" s="46"/>
      <c r="F47" s="46"/>
      <c r="G47" s="46"/>
      <c r="H47" s="46"/>
      <c r="I47" s="46"/>
      <c r="J47" s="46"/>
      <c r="K47" s="46"/>
      <c r="L47" s="46"/>
      <c r="M47" s="46"/>
    </row>
    <row r="48" spans="1:13" x14ac:dyDescent="0.35">
      <c r="A48" s="66" t="s">
        <v>249</v>
      </c>
      <c r="B48" s="46"/>
      <c r="C48" s="46"/>
      <c r="D48" s="46"/>
      <c r="E48" s="46"/>
      <c r="F48" s="46"/>
      <c r="G48" s="46"/>
      <c r="H48" s="46"/>
      <c r="I48" s="46"/>
      <c r="J48" s="46"/>
      <c r="K48" s="46"/>
      <c r="L48" s="46"/>
      <c r="M48" s="46"/>
    </row>
    <row r="49" spans="1:13" x14ac:dyDescent="0.35">
      <c r="A49" s="47" t="s">
        <v>212</v>
      </c>
      <c r="B49" s="51" t="s">
        <v>250</v>
      </c>
      <c r="C49" s="47" t="s">
        <v>251</v>
      </c>
      <c r="D49" s="47" t="s">
        <v>252</v>
      </c>
      <c r="E49" s="47" t="s">
        <v>253</v>
      </c>
      <c r="F49" s="47" t="s">
        <v>254</v>
      </c>
      <c r="G49" s="47" t="s">
        <v>255</v>
      </c>
      <c r="H49" s="47" t="s">
        <v>256</v>
      </c>
      <c r="I49" s="47" t="s">
        <v>257</v>
      </c>
      <c r="J49" s="47" t="s">
        <v>266</v>
      </c>
      <c r="K49" s="47" t="s">
        <v>267</v>
      </c>
      <c r="L49" s="47" t="s">
        <v>328</v>
      </c>
      <c r="M49" s="46"/>
    </row>
    <row r="50" spans="1:13" x14ac:dyDescent="0.35">
      <c r="A50" s="46" t="str">
        <f>A21</f>
        <v>BSR</v>
      </c>
      <c r="B50" s="45" t="s">
        <v>258</v>
      </c>
      <c r="C50" s="46" t="str">
        <f>IF($B50="N","Không giao dịch trong kỳ",IF(NOT(ISNUMBER(D50)),"Chờ ATR / thiếu giá",IF(D50=0,"Giữ (lệch &lt; 1 lô)",IF(D50&gt;0,"MUA thêm","BÁN bớt"))))</f>
        <v>Không giao dịch trong kỳ</v>
      </c>
      <c r="D50" s="53" t="str">
        <f>IF($B50="N","",IF(NOT(ISNUMBER(K21)),"",IF(NOT(ISNUMBER(D21)),"",IF(D21=0,"",ROUND(-L21/D21/100,0)*100))))</f>
        <v/>
      </c>
      <c r="E50" s="53" t="str">
        <f>IF(ISNUMBER(D50),D50*D21,"")</f>
        <v/>
      </c>
      <c r="F50" s="53" t="str">
        <f>IF(ISNUMBER(E50),ABS(E50)*'Bieu phi (Fee schedule)'!$B$5,"")</f>
        <v/>
      </c>
      <c r="G50" s="53" t="str">
        <f>IF(ISNUMBER(E50),IF(E50&lt;0,ABS(E50)*'Bieu phi (Fee schedule)'!$B$6,0),"")</f>
        <v/>
      </c>
      <c r="H50" s="53" t="str">
        <f>IF(ISNUMBER(E50),F50+G50,"")</f>
        <v/>
      </c>
      <c r="I50" s="46" t="s">
        <v>259</v>
      </c>
      <c r="J50" s="49">
        <f>'Phan bo hien tai (Allocation)'!D5</f>
        <v>27000</v>
      </c>
      <c r="K50" s="53" t="str">
        <f>IF(AND(ISNUMBER(D50),D50&lt;0,ISNUMBER(J50)),(D21-J50)*ABS(D50),"")</f>
        <v/>
      </c>
      <c r="L50" s="46" t="str">
        <f>IF(NOT(ISNUMBER(E50)),"",IF(E50=0,"Không có lệnh",IF(AND(E50&gt;0,E50&lt;$B$36),"Ticket &lt; tối thiểu 5 tr",IF((E21+E50)/$B$18&gt;$B$19+0.0001,"Vượt trần 20%/mã","OK"))))</f>
        <v/>
      </c>
      <c r="M50" s="46"/>
    </row>
    <row r="51" spans="1:13" x14ac:dyDescent="0.35">
      <c r="A51" s="46" t="str">
        <f t="shared" ref="A51:A57" si="8">A22</f>
        <v>DHC</v>
      </c>
      <c r="B51" s="45" t="s">
        <v>260</v>
      </c>
      <c r="C51" s="46" t="str">
        <f t="shared" ref="C51:C57" si="9">IF($B51="N","Không giao dịch trong kỳ",IF(NOT(ISNUMBER(D51)),"Chờ ATR / thiếu giá",IF(D51=0,"Giữ (lệch &lt; 1 lô)",IF(D51&gt;0,"MUA thêm","BÁN bớt"))))</f>
        <v>Chờ ATR / thiếu giá</v>
      </c>
      <c r="D51" s="53" t="str">
        <f t="shared" ref="D51:D57" si="10">IF($B51="N","",IF(NOT(ISNUMBER(K22)),"",IF(NOT(ISNUMBER(D22)),"",IF(D22=0,"",ROUND(-L22/D22/100,0)*100))))</f>
        <v/>
      </c>
      <c r="E51" s="53" t="str">
        <f t="shared" ref="E51:E57" si="11">IF(ISNUMBER(D51),D51*D22,"")</f>
        <v/>
      </c>
      <c r="F51" s="53" t="str">
        <f>IF(ISNUMBER(E51),ABS(E51)*'Bieu phi (Fee schedule)'!$B$5,"")</f>
        <v/>
      </c>
      <c r="G51" s="53" t="str">
        <f>IF(ISNUMBER(E51),IF(E51&lt;0,ABS(E51)*'Bieu phi (Fee schedule)'!$B$6,0),"")</f>
        <v/>
      </c>
      <c r="H51" s="53" t="str">
        <f t="shared" ref="H51:H57" si="12">IF(ISNUMBER(E51),F51+G51,"")</f>
        <v/>
      </c>
      <c r="I51" s="46" t="s">
        <v>261</v>
      </c>
      <c r="J51" s="49">
        <f>'Phan bo hien tai (Allocation)'!D6</f>
        <v>36600</v>
      </c>
      <c r="K51" s="53" t="str">
        <f>IF(AND(ISNUMBER(D51),D51&lt;0,ISNUMBER(J51)),(D22-J51)*ABS(D51),"")</f>
        <v/>
      </c>
      <c r="L51" s="46" t="str">
        <f t="shared" ref="L51:L57" si="13">IF(NOT(ISNUMBER(E51)),"",IF(E51=0,"Không có lệnh",IF(AND(E51&gt;0,E51&lt;$B$36),"Ticket &lt; tối thiểu 5 tr",IF((E22+E51)/$B$18&gt;$B$19+0.0001,"Vượt trần 20%/mã","OK"))))</f>
        <v/>
      </c>
      <c r="M51" s="46"/>
    </row>
    <row r="52" spans="1:13" x14ac:dyDescent="0.35">
      <c r="A52" s="46" t="str">
        <f t="shared" si="8"/>
        <v>MSB</v>
      </c>
      <c r="B52" s="45" t="s">
        <v>260</v>
      </c>
      <c r="C52" s="46" t="str">
        <f t="shared" si="9"/>
        <v>Chờ ATR / thiếu giá</v>
      </c>
      <c r="D52" s="53" t="str">
        <f t="shared" si="10"/>
        <v/>
      </c>
      <c r="E52" s="53" t="str">
        <f t="shared" si="11"/>
        <v/>
      </c>
      <c r="F52" s="53" t="str">
        <f>IF(ISNUMBER(E52),ABS(E52)*'Bieu phi (Fee schedule)'!$B$5,"")</f>
        <v/>
      </c>
      <c r="G52" s="53" t="str">
        <f>IF(ISNUMBER(E52),IF(E52&lt;0,ABS(E52)*'Bieu phi (Fee schedule)'!$B$6,0),"")</f>
        <v/>
      </c>
      <c r="H52" s="53" t="str">
        <f t="shared" si="12"/>
        <v/>
      </c>
      <c r="I52" s="46" t="s">
        <v>262</v>
      </c>
      <c r="J52" s="49">
        <f>'Phan bo hien tai (Allocation)'!D7</f>
        <v>13333</v>
      </c>
      <c r="K52" s="53" t="str">
        <f>IF(AND(ISNUMBER(D52),D52&lt;0,ISNUMBER(J52)),(D23-J52)*ABS(D52),"")</f>
        <v/>
      </c>
      <c r="L52" s="46" t="str">
        <f t="shared" si="13"/>
        <v/>
      </c>
      <c r="M52" s="46"/>
    </row>
    <row r="53" spans="1:13" x14ac:dyDescent="0.35">
      <c r="A53" s="46" t="str">
        <f t="shared" si="8"/>
        <v>VHM</v>
      </c>
      <c r="B53" s="45" t="s">
        <v>260</v>
      </c>
      <c r="C53" s="46" t="str">
        <f t="shared" si="9"/>
        <v>Chờ ATR / thiếu giá</v>
      </c>
      <c r="D53" s="53" t="str">
        <f t="shared" si="10"/>
        <v/>
      </c>
      <c r="E53" s="53" t="str">
        <f t="shared" si="11"/>
        <v/>
      </c>
      <c r="F53" s="53" t="str">
        <f>IF(ISNUMBER(E53),ABS(E53)*'Bieu phi (Fee schedule)'!$B$5,"")</f>
        <v/>
      </c>
      <c r="G53" s="53" t="str">
        <f>IF(ISNUMBER(E53),IF(E53&lt;0,ABS(E53)*'Bieu phi (Fee schedule)'!$B$6,0),"")</f>
        <v/>
      </c>
      <c r="H53" s="53" t="str">
        <f t="shared" si="12"/>
        <v/>
      </c>
      <c r="I53" s="46" t="s">
        <v>263</v>
      </c>
      <c r="J53" s="49">
        <f>'Phan bo hien tai (Allocation)'!D8</f>
        <v>69000</v>
      </c>
      <c r="K53" s="53" t="str">
        <f>IF(AND(ISNUMBER(D53),D53&lt;0,ISNUMBER(J53)),(D24-J53)*ABS(D53),"")</f>
        <v/>
      </c>
      <c r="L53" s="46" t="str">
        <f t="shared" si="13"/>
        <v/>
      </c>
      <c r="M53" s="46"/>
    </row>
    <row r="54" spans="1:13" x14ac:dyDescent="0.35">
      <c r="A54" s="46" t="str">
        <f t="shared" si="8"/>
        <v>Ứng viên 1 (input)</v>
      </c>
      <c r="B54" s="45" t="s">
        <v>260</v>
      </c>
      <c r="C54" s="46" t="str">
        <f t="shared" si="9"/>
        <v>Chờ ATR / thiếu giá</v>
      </c>
      <c r="D54" s="53" t="str">
        <f t="shared" si="10"/>
        <v/>
      </c>
      <c r="E54" s="53" t="str">
        <f t="shared" si="11"/>
        <v/>
      </c>
      <c r="F54" s="53" t="str">
        <f>IF(ISNUMBER(E54),ABS(E54)*'Bieu phi (Fee schedule)'!$B$5,"")</f>
        <v/>
      </c>
      <c r="G54" s="53" t="str">
        <f>IF(ISNUMBER(E54),IF(E54&lt;0,ABS(E54)*'Bieu phi (Fee schedule)'!$B$6,0),"")</f>
        <v/>
      </c>
      <c r="H54" s="53" t="str">
        <f t="shared" si="12"/>
        <v/>
      </c>
      <c r="I54" s="46" t="s">
        <v>264</v>
      </c>
      <c r="J54" s="46"/>
      <c r="K54" s="46"/>
      <c r="L54" s="46" t="str">
        <f t="shared" si="13"/>
        <v/>
      </c>
      <c r="M54" s="46"/>
    </row>
    <row r="55" spans="1:13" x14ac:dyDescent="0.35">
      <c r="A55" s="46" t="str">
        <f t="shared" si="8"/>
        <v>Ứng viên 2 (input)</v>
      </c>
      <c r="B55" s="45" t="s">
        <v>260</v>
      </c>
      <c r="C55" s="46" t="str">
        <f t="shared" si="9"/>
        <v>Chờ ATR / thiếu giá</v>
      </c>
      <c r="D55" s="53" t="str">
        <f t="shared" si="10"/>
        <v/>
      </c>
      <c r="E55" s="53" t="str">
        <f t="shared" si="11"/>
        <v/>
      </c>
      <c r="F55" s="53" t="str">
        <f>IF(ISNUMBER(E55),ABS(E55)*'Bieu phi (Fee schedule)'!$B$5,"")</f>
        <v/>
      </c>
      <c r="G55" s="53" t="str">
        <f>IF(ISNUMBER(E55),IF(E55&lt;0,ABS(E55)*'Bieu phi (Fee schedule)'!$B$6,0),"")</f>
        <v/>
      </c>
      <c r="H55" s="53" t="str">
        <f t="shared" si="12"/>
        <v/>
      </c>
      <c r="I55" s="46" t="s">
        <v>265</v>
      </c>
      <c r="J55" s="46"/>
      <c r="K55" s="46"/>
      <c r="L55" s="46" t="str">
        <f t="shared" si="13"/>
        <v/>
      </c>
      <c r="M55" s="46"/>
    </row>
    <row r="56" spans="1:13" x14ac:dyDescent="0.35">
      <c r="A56" s="46" t="str">
        <f t="shared" si="8"/>
        <v>Ứng viên 3 (input)</v>
      </c>
      <c r="B56" s="45" t="s">
        <v>260</v>
      </c>
      <c r="C56" s="46" t="str">
        <f t="shared" si="9"/>
        <v>Chờ ATR / thiếu giá</v>
      </c>
      <c r="D56" s="53" t="str">
        <f t="shared" si="10"/>
        <v/>
      </c>
      <c r="E56" s="53" t="str">
        <f t="shared" si="11"/>
        <v/>
      </c>
      <c r="F56" s="53" t="str">
        <f>IF(ISNUMBER(E56),ABS(E56)*'Bieu phi (Fee schedule)'!$B$5,"")</f>
        <v/>
      </c>
      <c r="G56" s="53" t="str">
        <f>IF(ISNUMBER(E56),IF(E56&lt;0,ABS(E56)*'Bieu phi (Fee schedule)'!$B$6,0),"")</f>
        <v/>
      </c>
      <c r="H56" s="53" t="str">
        <f t="shared" si="12"/>
        <v/>
      </c>
      <c r="I56" s="46" t="s">
        <v>265</v>
      </c>
      <c r="J56" s="46"/>
      <c r="K56" s="46"/>
      <c r="L56" s="46" t="str">
        <f t="shared" si="13"/>
        <v/>
      </c>
      <c r="M56" s="46"/>
    </row>
    <row r="57" spans="1:13" x14ac:dyDescent="0.35">
      <c r="A57" s="46" t="str">
        <f t="shared" si="8"/>
        <v>Ứng viên 4 (input)</v>
      </c>
      <c r="B57" s="45" t="s">
        <v>260</v>
      </c>
      <c r="C57" s="46" t="str">
        <f t="shared" si="9"/>
        <v>Chờ ATR / thiếu giá</v>
      </c>
      <c r="D57" s="53" t="str">
        <f t="shared" si="10"/>
        <v/>
      </c>
      <c r="E57" s="53" t="str">
        <f t="shared" si="11"/>
        <v/>
      </c>
      <c r="F57" s="53" t="str">
        <f>IF(ISNUMBER(E57),ABS(E57)*'Bieu phi (Fee schedule)'!$B$5,"")</f>
        <v/>
      </c>
      <c r="G57" s="53" t="str">
        <f>IF(ISNUMBER(E57),IF(E57&lt;0,ABS(E57)*'Bieu phi (Fee schedule)'!$B$6,0),"")</f>
        <v/>
      </c>
      <c r="H57" s="53" t="str">
        <f t="shared" si="12"/>
        <v/>
      </c>
      <c r="I57" s="46" t="s">
        <v>265</v>
      </c>
      <c r="J57" s="46"/>
      <c r="K57" s="46"/>
      <c r="L57" s="46" t="str">
        <f t="shared" si="13"/>
        <v/>
      </c>
      <c r="M57" s="46"/>
    </row>
    <row r="58" spans="1:13" x14ac:dyDescent="0.35">
      <c r="A58" s="47" t="s">
        <v>235</v>
      </c>
      <c r="B58" s="46"/>
      <c r="C58" s="46"/>
      <c r="D58" s="46"/>
      <c r="E58" s="60">
        <f>SUM(E50:E57)</f>
        <v>0</v>
      </c>
      <c r="F58" s="60">
        <f>SUM(F50:F57)</f>
        <v>0</v>
      </c>
      <c r="G58" s="60">
        <f>SUM(G50:G57)</f>
        <v>0</v>
      </c>
      <c r="H58" s="60">
        <f>SUM(H50:H57)</f>
        <v>0</v>
      </c>
      <c r="I58" s="46"/>
      <c r="J58" s="46"/>
      <c r="K58" s="60">
        <f>SUM(K50:K57)</f>
        <v>0</v>
      </c>
      <c r="L58" s="46"/>
      <c r="M58" s="46"/>
    </row>
    <row r="59" spans="1:13" x14ac:dyDescent="0.35">
      <c r="A59" s="70" t="s">
        <v>329</v>
      </c>
      <c r="B59" s="46"/>
      <c r="C59" s="46"/>
      <c r="D59" s="46"/>
      <c r="E59" s="59" t="str">
        <f>IF(E58+H58&lt;=B35,"OK — tiền còn lại (đ):","VI PHẠM — thiếu tiền (đ):")</f>
        <v>OK — tiền còn lại (đ):</v>
      </c>
      <c r="F59" s="59">
        <f>ABS(B35-E58-H58)</f>
        <v>35924122</v>
      </c>
      <c r="G59" s="46"/>
      <c r="H59" s="46"/>
      <c r="I59" s="46"/>
      <c r="J59" s="46"/>
      <c r="K59" s="46"/>
      <c r="L59" s="46"/>
      <c r="M59" s="46"/>
    </row>
    <row r="60" spans="1:13" x14ac:dyDescent="0.35">
      <c r="A60" s="66" t="s">
        <v>268</v>
      </c>
      <c r="B60" s="46"/>
      <c r="C60" s="46"/>
      <c r="D60" s="46"/>
      <c r="E60" s="46"/>
      <c r="F60" s="46"/>
      <c r="G60" s="46"/>
      <c r="H60" s="46"/>
      <c r="I60" s="46"/>
      <c r="J60" s="46"/>
      <c r="K60" s="46"/>
      <c r="L60" s="46"/>
      <c r="M60" s="46"/>
    </row>
    <row r="61" spans="1:13" x14ac:dyDescent="0.35">
      <c r="A61" s="46" t="s">
        <v>269</v>
      </c>
      <c r="B61" s="54">
        <f>F29</f>
        <v>0.59000213539185853</v>
      </c>
      <c r="C61" s="46"/>
      <c r="D61" s="46"/>
      <c r="E61" s="46"/>
      <c r="F61" s="46"/>
      <c r="G61" s="46"/>
      <c r="H61" s="46"/>
      <c r="I61" s="46"/>
      <c r="J61" s="46"/>
      <c r="K61" s="46"/>
      <c r="L61" s="46"/>
      <c r="M61" s="46"/>
    </row>
    <row r="62" spans="1:13" x14ac:dyDescent="0.35">
      <c r="A62" s="46" t="s">
        <v>270</v>
      </c>
      <c r="B62" s="54">
        <f>(E29-E58-H58)/$B$18</f>
        <v>0.59000213539185853</v>
      </c>
      <c r="C62" s="46"/>
      <c r="D62" s="46"/>
      <c r="E62" s="46"/>
      <c r="F62" s="46"/>
      <c r="G62" s="46"/>
      <c r="H62" s="46"/>
      <c r="I62" s="46"/>
      <c r="J62" s="46"/>
      <c r="K62" s="46"/>
      <c r="L62" s="46"/>
      <c r="M62" s="46"/>
    </row>
    <row r="63" spans="1:13" x14ac:dyDescent="0.35">
      <c r="A63" s="46" t="s">
        <v>271</v>
      </c>
      <c r="B63" s="64">
        <f>'Tham so phan bo (Constraints)'!B9</f>
        <v>4</v>
      </c>
      <c r="C63" s="46"/>
      <c r="D63" s="46"/>
      <c r="E63" s="46"/>
      <c r="F63" s="46"/>
      <c r="G63" s="46"/>
      <c r="H63" s="46"/>
      <c r="I63" s="46"/>
      <c r="J63" s="46"/>
      <c r="K63" s="46"/>
      <c r="L63" s="46"/>
      <c r="M63" s="46"/>
    </row>
    <row r="64" spans="1:13" x14ac:dyDescent="0.35">
      <c r="A64" s="46" t="s">
        <v>272</v>
      </c>
      <c r="B64" s="64">
        <f>SUMPRODUCT(--(($E$21:$E$28&gt;0)+ISNUMBER($D$50:$D$57)&gt;0))</f>
        <v>4</v>
      </c>
      <c r="C64" s="46"/>
      <c r="D64" s="46"/>
      <c r="E64" s="46"/>
      <c r="F64" s="46"/>
      <c r="G64" s="46"/>
      <c r="H64" s="46"/>
      <c r="I64" s="46"/>
      <c r="J64" s="46"/>
      <c r="K64" s="46"/>
      <c r="L64" s="46"/>
      <c r="M64" s="46"/>
    </row>
    <row r="65" spans="1:13" x14ac:dyDescent="0.35">
      <c r="A65" s="46" t="s">
        <v>273</v>
      </c>
      <c r="B65" s="53">
        <f>H58</f>
        <v>0</v>
      </c>
      <c r="C65" s="46"/>
      <c r="D65" s="46"/>
      <c r="E65" s="46"/>
      <c r="F65" s="46"/>
      <c r="G65" s="46"/>
      <c r="H65" s="46"/>
      <c r="I65" s="46"/>
      <c r="J65" s="46"/>
      <c r="K65" s="46"/>
      <c r="L65" s="46"/>
      <c r="M65" s="46"/>
    </row>
    <row r="66" spans="1:13" x14ac:dyDescent="0.35">
      <c r="A66" s="46" t="s">
        <v>274</v>
      </c>
      <c r="B66" s="65">
        <f>IFERROR(H58/$B$18,"")</f>
        <v>0</v>
      </c>
      <c r="C66" s="46"/>
      <c r="D66" s="46"/>
      <c r="E66" s="46"/>
      <c r="F66" s="46"/>
      <c r="G66" s="46"/>
      <c r="H66" s="46"/>
      <c r="I66" s="46"/>
      <c r="J66" s="46"/>
      <c r="K66" s="46"/>
      <c r="L66" s="46"/>
      <c r="M66" s="46"/>
    </row>
    <row r="67" spans="1:13" x14ac:dyDescent="0.35">
      <c r="A67" s="46" t="s">
        <v>275</v>
      </c>
      <c r="B67" s="53">
        <f>K58</f>
        <v>0</v>
      </c>
      <c r="C67" s="46"/>
      <c r="D67" s="46"/>
      <c r="E67" s="46"/>
      <c r="F67" s="46"/>
      <c r="G67" s="46"/>
      <c r="H67" s="46"/>
      <c r="I67" s="46"/>
      <c r="J67" s="46"/>
      <c r="K67" s="46"/>
      <c r="L67" s="46"/>
      <c r="M67" s="46"/>
    </row>
    <row r="68" spans="1:13" x14ac:dyDescent="0.35">
      <c r="A68" s="46"/>
      <c r="B68" s="46"/>
      <c r="C68" s="46"/>
      <c r="D68" s="46"/>
      <c r="E68" s="46"/>
      <c r="F68" s="46"/>
      <c r="G68" s="46"/>
      <c r="H68" s="46"/>
      <c r="I68" s="46"/>
      <c r="J68" s="46"/>
      <c r="K68" s="46"/>
      <c r="L68" s="46"/>
      <c r="M68" s="46"/>
    </row>
    <row r="69" spans="1:13" x14ac:dyDescent="0.35">
      <c r="A69" s="70" t="s">
        <v>276</v>
      </c>
      <c r="B69" s="46"/>
      <c r="C69" s="46"/>
      <c r="D69" s="46"/>
      <c r="E69" s="46"/>
      <c r="F69" s="46"/>
      <c r="G69" s="46"/>
      <c r="H69" s="46"/>
      <c r="I69" s="46"/>
      <c r="J69" s="46"/>
      <c r="K69" s="46"/>
      <c r="L69" s="46"/>
      <c r="M69" s="46"/>
    </row>
    <row r="70" spans="1:13" x14ac:dyDescent="0.35">
      <c r="A70" s="46" t="s">
        <v>277</v>
      </c>
      <c r="B70" s="46"/>
      <c r="C70" s="46"/>
      <c r="D70" s="46"/>
      <c r="E70" s="46"/>
      <c r="F70" s="46"/>
      <c r="G70" s="46"/>
      <c r="H70" s="46"/>
      <c r="I70" s="46"/>
      <c r="J70" s="46"/>
      <c r="K70" s="46"/>
      <c r="L70" s="46"/>
      <c r="M70" s="46"/>
    </row>
    <row r="71" spans="1:13" x14ac:dyDescent="0.35">
      <c r="A71" s="46" t="s">
        <v>278</v>
      </c>
      <c r="B71" s="46"/>
      <c r="C71" s="46"/>
      <c r="D71" s="46"/>
      <c r="E71" s="46"/>
      <c r="F71" s="46"/>
      <c r="G71" s="46"/>
      <c r="H71" s="46"/>
      <c r="I71" s="46"/>
      <c r="J71" s="46"/>
      <c r="K71" s="46"/>
      <c r="L71" s="46"/>
      <c r="M71" s="46"/>
    </row>
    <row r="72" spans="1:13" x14ac:dyDescent="0.35">
      <c r="A72" s="46" t="s">
        <v>279</v>
      </c>
      <c r="B72" s="46"/>
      <c r="C72" s="46"/>
      <c r="D72" s="46"/>
      <c r="E72" s="46"/>
      <c r="F72" s="46"/>
      <c r="G72" s="46"/>
      <c r="H72" s="46"/>
      <c r="I72" s="46"/>
      <c r="J72" s="46"/>
      <c r="K72" s="46"/>
      <c r="L72" s="46"/>
      <c r="M72" s="46"/>
    </row>
    <row r="73" spans="1:13" x14ac:dyDescent="0.35">
      <c r="A73" s="46" t="s">
        <v>280</v>
      </c>
      <c r="B73" s="46"/>
      <c r="C73" s="46"/>
      <c r="D73" s="46"/>
      <c r="E73" s="46"/>
      <c r="F73" s="46"/>
      <c r="G73" s="46"/>
      <c r="H73" s="46"/>
      <c r="I73" s="46"/>
      <c r="J73" s="46"/>
      <c r="K73" s="46"/>
      <c r="L73" s="46"/>
      <c r="M73" s="46"/>
    </row>
    <row r="74" spans="1:13" x14ac:dyDescent="0.35">
      <c r="A74" s="46" t="s">
        <v>281</v>
      </c>
      <c r="B74" s="46"/>
      <c r="C74" s="46"/>
      <c r="D74" s="46"/>
      <c r="E74" s="46"/>
      <c r="F74" s="46"/>
      <c r="G74" s="46"/>
      <c r="H74" s="46"/>
      <c r="I74" s="46"/>
      <c r="J74" s="46"/>
      <c r="K74" s="46"/>
      <c r="L74" s="46"/>
      <c r="M74" s="46"/>
    </row>
    <row r="75" spans="1:13" x14ac:dyDescent="0.35">
      <c r="A75" s="46" t="s">
        <v>282</v>
      </c>
      <c r="B75" s="46"/>
      <c r="C75" s="46"/>
      <c r="D75" s="46"/>
      <c r="E75" s="46"/>
      <c r="F75" s="46"/>
      <c r="G75" s="46"/>
      <c r="H75" s="46"/>
      <c r="I75" s="46"/>
      <c r="J75" s="46"/>
      <c r="K75" s="46"/>
      <c r="L75" s="46"/>
      <c r="M75" s="46"/>
    </row>
    <row r="76" spans="1:13" x14ac:dyDescent="0.35">
      <c r="A76" s="46" t="s">
        <v>283</v>
      </c>
      <c r="B76" s="46"/>
      <c r="C76" s="46"/>
      <c r="D76" s="46"/>
      <c r="E76" s="46"/>
      <c r="F76" s="46"/>
      <c r="G76" s="46"/>
      <c r="H76" s="46"/>
      <c r="I76" s="46"/>
      <c r="J76" s="46"/>
      <c r="K76" s="46"/>
      <c r="L76" s="46"/>
      <c r="M76" s="46"/>
    </row>
    <row r="77" spans="1:13" x14ac:dyDescent="0.35">
      <c r="A77" s="46" t="s">
        <v>284</v>
      </c>
      <c r="B77" s="46"/>
      <c r="C77" s="46"/>
      <c r="D77" s="46"/>
      <c r="E77" s="46"/>
      <c r="F77" s="46"/>
      <c r="G77" s="46"/>
      <c r="H77" s="46"/>
      <c r="I77" s="46"/>
      <c r="J77" s="46"/>
      <c r="K77" s="46"/>
      <c r="L77" s="46"/>
      <c r="M77" s="46"/>
    </row>
    <row r="78" spans="1:13" x14ac:dyDescent="0.35">
      <c r="A78" s="69" t="s">
        <v>285</v>
      </c>
      <c r="B78" s="46"/>
      <c r="C78" s="46"/>
      <c r="D78" s="46"/>
      <c r="E78" s="46"/>
      <c r="F78" s="46"/>
      <c r="G78" s="46"/>
      <c r="H78" s="46"/>
      <c r="I78" s="46"/>
      <c r="J78" s="46"/>
      <c r="K78" s="46"/>
      <c r="L78" s="46"/>
      <c r="M78" s="46"/>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A0055-59ED-4743-B8E4-F784A69C2859}">
  <dimension ref="A1:A51"/>
  <sheetViews>
    <sheetView topLeftCell="A34" workbookViewId="0"/>
  </sheetViews>
  <sheetFormatPr defaultRowHeight="14.5" x14ac:dyDescent="0.35"/>
  <cols>
    <col min="1" max="1" width="127.26953125" customWidth="1"/>
  </cols>
  <sheetData>
    <row r="1" spans="1:1" ht="18.5" x14ac:dyDescent="0.45">
      <c r="A1" s="39" t="s">
        <v>286</v>
      </c>
    </row>
    <row r="2" spans="1:1" x14ac:dyDescent="0.35">
      <c r="A2" t="s">
        <v>287</v>
      </c>
    </row>
    <row r="4" spans="1:1" x14ac:dyDescent="0.35">
      <c r="A4" s="43" t="s">
        <v>288</v>
      </c>
    </row>
    <row r="5" spans="1:1" x14ac:dyDescent="0.35">
      <c r="A5" t="s">
        <v>289</v>
      </c>
    </row>
    <row r="6" spans="1:1" x14ac:dyDescent="0.35">
      <c r="A6" t="s">
        <v>290</v>
      </c>
    </row>
    <row r="8" spans="1:1" x14ac:dyDescent="0.35">
      <c r="A8" s="43" t="s">
        <v>291</v>
      </c>
    </row>
    <row r="9" spans="1:1" x14ac:dyDescent="0.35">
      <c r="A9" t="s">
        <v>292</v>
      </c>
    </row>
    <row r="10" spans="1:1" x14ac:dyDescent="0.35">
      <c r="A10" t="s">
        <v>293</v>
      </c>
    </row>
    <row r="11" spans="1:1" x14ac:dyDescent="0.35">
      <c r="A11" t="s">
        <v>294</v>
      </c>
    </row>
    <row r="12" spans="1:1" x14ac:dyDescent="0.35">
      <c r="A12" t="s">
        <v>295</v>
      </c>
    </row>
    <row r="14" spans="1:1" x14ac:dyDescent="0.35">
      <c r="A14" s="43" t="s">
        <v>296</v>
      </c>
    </row>
    <row r="15" spans="1:1" x14ac:dyDescent="0.35">
      <c r="A15" t="s">
        <v>297</v>
      </c>
    </row>
    <row r="16" spans="1:1" x14ac:dyDescent="0.35">
      <c r="A16" t="s">
        <v>298</v>
      </c>
    </row>
    <row r="17" spans="1:1" x14ac:dyDescent="0.35">
      <c r="A17" t="s">
        <v>299</v>
      </c>
    </row>
    <row r="18" spans="1:1" x14ac:dyDescent="0.35">
      <c r="A18" t="s">
        <v>300</v>
      </c>
    </row>
    <row r="19" spans="1:1" x14ac:dyDescent="0.35">
      <c r="A19" t="s">
        <v>301</v>
      </c>
    </row>
    <row r="21" spans="1:1" x14ac:dyDescent="0.35">
      <c r="A21" s="43" t="s">
        <v>302</v>
      </c>
    </row>
    <row r="22" spans="1:1" x14ac:dyDescent="0.35">
      <c r="A22" t="s">
        <v>303</v>
      </c>
    </row>
    <row r="23" spans="1:1" x14ac:dyDescent="0.35">
      <c r="A23" t="s">
        <v>304</v>
      </c>
    </row>
    <row r="24" spans="1:1" x14ac:dyDescent="0.35">
      <c r="A24" t="s">
        <v>305</v>
      </c>
    </row>
    <row r="25" spans="1:1" x14ac:dyDescent="0.35">
      <c r="A25" t="s">
        <v>306</v>
      </c>
    </row>
    <row r="27" spans="1:1" x14ac:dyDescent="0.35">
      <c r="A27" s="43" t="s">
        <v>307</v>
      </c>
    </row>
    <row r="28" spans="1:1" x14ac:dyDescent="0.35">
      <c r="A28" t="s">
        <v>308</v>
      </c>
    </row>
    <row r="29" spans="1:1" x14ac:dyDescent="0.35">
      <c r="A29" t="s">
        <v>309</v>
      </c>
    </row>
    <row r="30" spans="1:1" x14ac:dyDescent="0.35">
      <c r="A30" t="s">
        <v>310</v>
      </c>
    </row>
    <row r="31" spans="1:1" x14ac:dyDescent="0.35">
      <c r="A31" t="s">
        <v>311</v>
      </c>
    </row>
    <row r="32" spans="1:1" x14ac:dyDescent="0.35">
      <c r="A32" s="44" t="s">
        <v>312</v>
      </c>
    </row>
    <row r="34" spans="1:1" x14ac:dyDescent="0.35">
      <c r="A34" s="43" t="s">
        <v>313</v>
      </c>
    </row>
    <row r="35" spans="1:1" x14ac:dyDescent="0.35">
      <c r="A35" t="s">
        <v>314</v>
      </c>
    </row>
    <row r="37" spans="1:1" x14ac:dyDescent="0.35">
      <c r="A37" s="43" t="s">
        <v>315</v>
      </c>
    </row>
    <row r="38" spans="1:1" x14ac:dyDescent="0.35">
      <c r="A38" t="s">
        <v>316</v>
      </c>
    </row>
    <row r="39" spans="1:1" x14ac:dyDescent="0.35">
      <c r="A39" t="s">
        <v>317</v>
      </c>
    </row>
    <row r="40" spans="1:1" x14ac:dyDescent="0.35">
      <c r="A40" t="s">
        <v>318</v>
      </c>
    </row>
    <row r="41" spans="1:1" x14ac:dyDescent="0.35">
      <c r="A41" t="s">
        <v>319</v>
      </c>
    </row>
    <row r="42" spans="1:1" x14ac:dyDescent="0.35">
      <c r="A42" t="s">
        <v>320</v>
      </c>
    </row>
    <row r="43" spans="1:1" x14ac:dyDescent="0.35">
      <c r="A43" t="s">
        <v>321</v>
      </c>
    </row>
    <row r="45" spans="1:1" x14ac:dyDescent="0.35">
      <c r="A45" s="43" t="s">
        <v>322</v>
      </c>
    </row>
    <row r="46" spans="1:1" x14ac:dyDescent="0.35">
      <c r="A46" s="42" t="s">
        <v>323</v>
      </c>
    </row>
    <row r="47" spans="1:1" x14ac:dyDescent="0.35">
      <c r="A47" t="s">
        <v>324</v>
      </c>
    </row>
    <row r="48" spans="1:1" x14ac:dyDescent="0.35">
      <c r="A48" t="s">
        <v>325</v>
      </c>
    </row>
    <row r="49" spans="1:1" x14ac:dyDescent="0.35">
      <c r="A49" s="40" t="s">
        <v>326</v>
      </c>
    </row>
    <row r="51" spans="1:1" x14ac:dyDescent="0.35">
      <c r="A51" s="40" t="s">
        <v>327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C18"/>
  <sheetViews>
    <sheetView workbookViewId="0">
      <selection activeCell="C24" sqref="C24"/>
    </sheetView>
  </sheetViews>
  <sheetFormatPr defaultRowHeight="14.5" x14ac:dyDescent="0.35"/>
  <cols>
    <col min="1" max="1" width="50" customWidth="1"/>
    <col min="2" max="2" width="28" customWidth="1"/>
    <col min="3" max="3" width="22" customWidth="1"/>
  </cols>
  <sheetData>
    <row r="1" spans="1:3" ht="18.5" x14ac:dyDescent="0.45">
      <c r="A1" s="28" t="s">
        <v>127</v>
      </c>
      <c r="B1" s="29"/>
      <c r="C1" s="29"/>
    </row>
    <row r="2" spans="1:3" x14ac:dyDescent="0.35">
      <c r="A2" s="32" t="s">
        <v>128</v>
      </c>
      <c r="B2" s="29"/>
      <c r="C2" s="29"/>
    </row>
    <row r="4" spans="1:3" ht="29" x14ac:dyDescent="0.35">
      <c r="A4" s="1" t="s">
        <v>129</v>
      </c>
      <c r="B4" s="1" t="s">
        <v>130</v>
      </c>
      <c r="C4" s="1" t="s">
        <v>131</v>
      </c>
    </row>
    <row r="5" spans="1:3" x14ac:dyDescent="0.35">
      <c r="A5" s="12" t="s">
        <v>132</v>
      </c>
      <c r="B5" s="15">
        <v>8.0000000000000004E-4</v>
      </c>
      <c r="C5" s="15">
        <v>1.5E-3</v>
      </c>
    </row>
    <row r="6" spans="1:3" x14ac:dyDescent="0.35">
      <c r="A6" s="12" t="s">
        <v>133</v>
      </c>
      <c r="B6" s="15">
        <v>1E-3</v>
      </c>
      <c r="C6" s="12"/>
    </row>
    <row r="7" spans="1:3" x14ac:dyDescent="0.35">
      <c r="A7" s="12" t="s">
        <v>134</v>
      </c>
      <c r="B7" s="12" t="s">
        <v>135</v>
      </c>
      <c r="C7" s="12" t="s">
        <v>136</v>
      </c>
    </row>
    <row r="9" spans="1:3" x14ac:dyDescent="0.35">
      <c r="A9" s="24" t="s">
        <v>137</v>
      </c>
    </row>
    <row r="10" spans="1:3" x14ac:dyDescent="0.35">
      <c r="A10" s="12" t="s">
        <v>138</v>
      </c>
      <c r="B10" s="13">
        <v>130878</v>
      </c>
    </row>
    <row r="11" spans="1:3" x14ac:dyDescent="0.35">
      <c r="A11" s="12" t="s">
        <v>139</v>
      </c>
      <c r="B11" s="13">
        <v>199973</v>
      </c>
    </row>
    <row r="12" spans="1:3" x14ac:dyDescent="0.35">
      <c r="A12" s="12" t="s">
        <v>140</v>
      </c>
      <c r="B12" s="25">
        <v>74728</v>
      </c>
    </row>
    <row r="14" spans="1:3" x14ac:dyDescent="0.35">
      <c r="A14" s="33" t="s">
        <v>141</v>
      </c>
      <c r="B14" s="34"/>
      <c r="C14" s="34"/>
    </row>
    <row r="15" spans="1:3" x14ac:dyDescent="0.35">
      <c r="A15" s="21" t="s">
        <v>142</v>
      </c>
      <c r="B15" s="21" t="s">
        <v>143</v>
      </c>
      <c r="C15" s="21" t="s">
        <v>144</v>
      </c>
    </row>
    <row r="16" spans="1:3" x14ac:dyDescent="0.35">
      <c r="A16" s="12" t="s">
        <v>145</v>
      </c>
      <c r="B16" s="12">
        <v>1440</v>
      </c>
      <c r="C16" s="13">
        <v>432</v>
      </c>
    </row>
    <row r="17" spans="1:3" x14ac:dyDescent="0.35">
      <c r="A17" s="12" t="s">
        <v>146</v>
      </c>
      <c r="B17" s="12">
        <v>1290</v>
      </c>
      <c r="C17" s="13">
        <v>387</v>
      </c>
    </row>
    <row r="18" spans="1:3" x14ac:dyDescent="0.35">
      <c r="A18" s="24" t="s">
        <v>147</v>
      </c>
      <c r="C18" s="26">
        <v>819</v>
      </c>
    </row>
  </sheetData>
  <mergeCells count="3">
    <mergeCell ref="A1:C1"/>
    <mergeCell ref="A14:C14"/>
    <mergeCell ref="A2:C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E16"/>
  <sheetViews>
    <sheetView tabSelected="1" workbookViewId="0">
      <selection sqref="A1:E1"/>
    </sheetView>
  </sheetViews>
  <sheetFormatPr defaultRowHeight="14.5" x14ac:dyDescent="0.35"/>
  <cols>
    <col min="1" max="1" width="12" customWidth="1"/>
    <col min="2" max="2" width="10" customWidth="1"/>
    <col min="3" max="3" width="28" customWidth="1"/>
    <col min="4" max="4" width="22" customWidth="1"/>
    <col min="5" max="5" width="30" customWidth="1"/>
  </cols>
  <sheetData>
    <row r="1" spans="1:5" ht="18.5" x14ac:dyDescent="0.45">
      <c r="A1" s="28" t="s">
        <v>148</v>
      </c>
      <c r="B1" s="29"/>
      <c r="C1" s="29"/>
      <c r="D1" s="29"/>
      <c r="E1" s="29"/>
    </row>
    <row r="2" spans="1:5" x14ac:dyDescent="0.35">
      <c r="A2" s="32" t="s">
        <v>149</v>
      </c>
      <c r="B2" s="29"/>
      <c r="C2" s="29"/>
      <c r="D2" s="29"/>
      <c r="E2" s="29"/>
    </row>
    <row r="4" spans="1:5" x14ac:dyDescent="0.35">
      <c r="A4" s="33" t="s">
        <v>150</v>
      </c>
      <c r="B4" s="34"/>
      <c r="C4" s="34"/>
      <c r="D4" s="34"/>
      <c r="E4" s="34"/>
    </row>
    <row r="5" spans="1:5" x14ac:dyDescent="0.35">
      <c r="A5" s="21" t="s">
        <v>151</v>
      </c>
      <c r="B5" s="21" t="s">
        <v>152</v>
      </c>
      <c r="C5" s="21" t="s">
        <v>153</v>
      </c>
      <c r="D5" s="21" t="s">
        <v>154</v>
      </c>
      <c r="E5" s="21" t="s">
        <v>155</v>
      </c>
    </row>
    <row r="6" spans="1:5" x14ac:dyDescent="0.35">
      <c r="A6" s="12" t="s">
        <v>156</v>
      </c>
      <c r="B6" s="12" t="s">
        <v>20</v>
      </c>
      <c r="C6" s="12" t="s">
        <v>157</v>
      </c>
      <c r="D6" s="12" t="s">
        <v>158</v>
      </c>
      <c r="E6" s="12" t="s">
        <v>159</v>
      </c>
    </row>
    <row r="7" spans="1:5" ht="30" customHeight="1" x14ac:dyDescent="0.35">
      <c r="A7" s="38" t="s">
        <v>160</v>
      </c>
      <c r="B7" s="29"/>
      <c r="C7" s="29"/>
      <c r="D7" s="29"/>
      <c r="E7" s="29"/>
    </row>
    <row r="9" spans="1:5" x14ac:dyDescent="0.35">
      <c r="A9" s="33" t="s">
        <v>161</v>
      </c>
      <c r="B9" s="34"/>
      <c r="C9" s="34"/>
      <c r="D9" s="34"/>
      <c r="E9" s="34"/>
    </row>
    <row r="10" spans="1:5" x14ac:dyDescent="0.35">
      <c r="A10" s="21" t="s">
        <v>151</v>
      </c>
      <c r="B10" s="21" t="s">
        <v>152</v>
      </c>
      <c r="C10" s="21" t="s">
        <v>162</v>
      </c>
      <c r="D10" s="21" t="s">
        <v>163</v>
      </c>
      <c r="E10" s="21" t="s">
        <v>164</v>
      </c>
    </row>
    <row r="11" spans="1:5" ht="30" customHeight="1" x14ac:dyDescent="0.35">
      <c r="A11" s="12" t="s">
        <v>165</v>
      </c>
      <c r="B11" s="12" t="s">
        <v>166</v>
      </c>
      <c r="C11" s="12" t="s">
        <v>167</v>
      </c>
      <c r="D11" s="12" t="s">
        <v>168</v>
      </c>
      <c r="E11" s="27" t="s">
        <v>169</v>
      </c>
    </row>
    <row r="13" spans="1:5" x14ac:dyDescent="0.35">
      <c r="A13" s="33" t="s">
        <v>170</v>
      </c>
      <c r="B13" s="34"/>
      <c r="C13" s="34"/>
      <c r="D13" s="34"/>
      <c r="E13" s="34"/>
    </row>
    <row r="14" spans="1:5" x14ac:dyDescent="0.35">
      <c r="A14" s="21" t="s">
        <v>151</v>
      </c>
      <c r="B14" s="21" t="s">
        <v>152</v>
      </c>
      <c r="C14" s="21" t="s">
        <v>171</v>
      </c>
      <c r="D14" s="21" t="s">
        <v>172</v>
      </c>
    </row>
    <row r="15" spans="1:5" ht="30" customHeight="1" x14ac:dyDescent="0.35">
      <c r="A15" s="12" t="s">
        <v>49</v>
      </c>
      <c r="B15" s="12" t="s">
        <v>35</v>
      </c>
      <c r="C15" s="12" t="s">
        <v>173</v>
      </c>
      <c r="D15" s="36" t="s">
        <v>174</v>
      </c>
      <c r="E15" s="37"/>
    </row>
    <row r="16" spans="1:5" ht="30" customHeight="1" x14ac:dyDescent="0.35">
      <c r="A16" s="12" t="s">
        <v>55</v>
      </c>
      <c r="B16" s="12" t="s">
        <v>27</v>
      </c>
      <c r="C16" s="12" t="s">
        <v>175</v>
      </c>
      <c r="D16" s="36" t="s">
        <v>176</v>
      </c>
      <c r="E16" s="37"/>
    </row>
  </sheetData>
  <mergeCells count="8">
    <mergeCell ref="A1:E1"/>
    <mergeCell ref="A13:E13"/>
    <mergeCell ref="A9:E9"/>
    <mergeCell ref="D16:E16"/>
    <mergeCell ref="A4:E4"/>
    <mergeCell ref="A2:E2"/>
    <mergeCell ref="D15:E15"/>
    <mergeCell ref="A7:E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8</vt:i4>
      </vt:variant>
    </vt:vector>
  </HeadingPairs>
  <TitlesOfParts>
    <vt:vector size="8" baseType="lpstr">
      <vt:lpstr>Giao dich (Transactions)</vt:lpstr>
      <vt:lpstr>Phan bo hien tai (Allocation)</vt:lpstr>
      <vt:lpstr>Tham so phan bo (Constraints)</vt:lpstr>
      <vt:lpstr>Tong ket (Summary)</vt:lpstr>
      <vt:lpstr>Soat DM2 16.09</vt:lpstr>
      <vt:lpstr>Bien ban can cu</vt:lpstr>
      <vt:lpstr>Bieu phi (Fee schedule)</vt:lpstr>
      <vt:lpstr>Su kien &amp; ngoai le (Events)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trisvuthanh trisvuthanh</cp:lastModifiedBy>
  <dcterms:created xsi:type="dcterms:W3CDTF">2026-09-16T13:12:45Z</dcterms:created>
  <dcterms:modified xsi:type="dcterms:W3CDTF">2026-09-16T15:10:09Z</dcterms:modified>
</cp:coreProperties>
</file>