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Tham số" sheetId="1" state="visible" r:id="rId1"/>
    <sheet xmlns:r="http://schemas.openxmlformats.org/officeDocument/2006/relationships" name="2. Khoảng cách" sheetId="2" state="visible" r:id="rId2"/>
    <sheet xmlns:r="http://schemas.openxmlformats.org/officeDocument/2006/relationships" name="3. Phân rã đòi hỏi" sheetId="3" state="visible" r:id="rId3"/>
    <sheet xmlns:r="http://schemas.openxmlformats.org/officeDocument/2006/relationships" name="4. Hướng giải quyết" sheetId="4" state="visible" r:id="rId4"/>
    <sheet xmlns:r="http://schemas.openxmlformats.org/officeDocument/2006/relationships" name="5. Rủi ro–Lợi nhuận" sheetId="5" state="visible" r:id="rId5"/>
    <sheet xmlns:r="http://schemas.openxmlformats.org/officeDocument/2006/relationships" name="6. Dữ liệu thô" sheetId="6" state="visible" r:id="rId6"/>
  </sheets>
  <definedNames/>
  <calcPr calcId="124519" fullCalcOnLoad="1"/>
</workbook>
</file>

<file path=xl/styles.xml><?xml version="1.0" encoding="utf-8"?>
<styleSheet xmlns="http://schemas.openxmlformats.org/spreadsheetml/2006/main">
  <numFmts count="5">
    <numFmt numFmtId="164" formatCode="0.000"/>
    <numFmt numFmtId="165" formatCode="+0.00;-0.00"/>
    <numFmt numFmtId="166" formatCode="0.0"/>
    <numFmt numFmtId="167" formatCode="0,00"/>
    <numFmt numFmtId="168" formatCode="0,000"/>
  </numFmts>
  <fonts count="5">
    <font>
      <name val="Calibri"/>
      <family val="2"/>
      <color theme="1"/>
      <sz val="11"/>
      <scheme val="minor"/>
    </font>
    <font>
      <b val="1"/>
      <color rgb="001F3864"/>
      <sz val="14"/>
    </font>
    <font>
      <i val="1"/>
      <color rgb="00666666"/>
      <sz val="9"/>
    </font>
    <font>
      <b val="1"/>
      <sz val="10"/>
    </font>
    <font>
      <b val="1"/>
      <color rgb="00FFFFFF"/>
      <sz val="10"/>
    </font>
  </fonts>
  <fills count="6">
    <fill>
      <patternFill/>
    </fill>
    <fill>
      <patternFill patternType="gray125"/>
    </fill>
    <fill>
      <patternFill patternType="solid">
        <fgColor rgb="001F3864"/>
      </patternFill>
    </fill>
    <fill>
      <patternFill patternType="solid">
        <fgColor rgb="00FFF9E6"/>
      </patternFill>
    </fill>
    <fill>
      <patternFill patternType="solid">
        <fgColor rgb="00FFF2CC"/>
      </patternFill>
    </fill>
    <fill>
      <patternFill patternType="solid">
        <fgColor rgb="00D9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pivotButton="0" quotePrefix="0" xfId="0"/>
    <xf numFmtId="0" fontId="0" fillId="0" borderId="1" applyAlignment="1" pivotButton="0" quotePrefix="0" xfId="0">
      <alignment horizontal="center"/>
    </xf>
    <xf numFmtId="2" fontId="0" fillId="0" borderId="1" pivotButton="0" quotePrefix="0" xfId="0"/>
    <xf numFmtId="164" fontId="0" fillId="3" borderId="1" pivotButton="0" quotePrefix="0" xfId="0"/>
    <xf numFmtId="2" fontId="0" fillId="3" borderId="1" pivotButton="0" quotePrefix="0" xfId="0"/>
    <xf numFmtId="0" fontId="0" fillId="0" borderId="1" pivotButton="0" quotePrefix="0" xfId="0"/>
    <xf numFmtId="2" fontId="3" fillId="4" borderId="1" pivotButton="0" quotePrefix="0" xfId="0"/>
    <xf numFmtId="0" fontId="2" fillId="0" borderId="0" applyAlignment="1" pivotButton="0" quotePrefix="0" xfId="0">
      <alignment vertical="top" wrapText="1"/>
    </xf>
    <xf numFmtId="165" fontId="0" fillId="0" borderId="1" pivotButton="0" quotePrefix="0" xfId="0"/>
    <xf numFmtId="166" fontId="0" fillId="0" borderId="1" pivotButton="0" quotePrefix="0" xfId="0"/>
    <xf numFmtId="164" fontId="0" fillId="0" borderId="1" pivotButton="0" quotePrefix="0" xfId="0"/>
    <xf numFmtId="167" fontId="3" fillId="5" borderId="1" pivotButton="0" quotePrefix="0" xfId="0"/>
    <xf numFmtId="165" fontId="3" fillId="5" borderId="1" pivotButton="0" quotePrefix="0" xfId="0"/>
    <xf numFmtId="168" fontId="3" fillId="5" borderId="1" pivotButton="0" quotePrefix="0" xfId="0"/>
    <xf numFmtId="0" fontId="4" fillId="2" borderId="1" pivotButton="0" quotePrefix="0" xfId="0"/>
    <xf numFmtId="0" fontId="3" fillId="5" borderId="1" pivotButton="0" quotePrefix="0" xfId="0"/>
    <xf numFmtId="165" fontId="3" fillId="0" borderId="1" pivotButton="0" quotePrefix="0" xfId="0"/>
    <xf numFmtId="2" fontId="0" fillId="0" borderId="1" applyAlignment="1" pivotButton="0" quotePrefix="0" xfId="0">
      <alignment horizontal="center"/>
    </xf>
    <xf numFmtId="0" fontId="2" fillId="0" borderId="1" applyAlignment="1" pivotButton="0" quotePrefix="0" xfId="0">
      <alignment vertical="top" wrapText="1"/>
    </xf>
    <xf numFmtId="0" fontId="3" fillId="5" borderId="0" pivotButton="0" quotePrefix="0" xfId="0"/>
    <xf numFmtId="0" fontId="3"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Bốn mốc so sánh (%/năm)</a:t>
            </a:r>
          </a:p>
        </rich>
      </tx>
    </title>
    <plotArea>
      <barChart>
        <barDir val="col"/>
        <grouping val="clustered"/>
        <ser>
          <idx val="0"/>
          <order val="0"/>
          <spPr>
            <a:ln xmlns:a="http://schemas.openxmlformats.org/drawingml/2006/main">
              <a:prstDash val="solid"/>
            </a:ln>
          </spPr>
          <cat>
            <numRef>
              <f>'2. Khoảng cách'!$A$5:$A$8</f>
            </numRef>
          </cat>
          <val>
            <numRef>
              <f>'2. Khoảng cách'!$B$5:$B$8</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%/năm</a:t>
                </a:r>
              </a:p>
            </rich>
          </tx>
        </title>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Đóng góp vào tỷ suất đòi hỏi (điểm %)</a:t>
            </a:r>
          </a:p>
        </rich>
      </tx>
    </title>
    <plotArea>
      <barChart>
        <barDir val="bar"/>
        <grouping val="clustered"/>
        <ser>
          <idx val="0"/>
          <order val="0"/>
          <spPr>
            <a:ln xmlns:a="http://schemas.openxmlformats.org/drawingml/2006/main">
              <a:prstDash val="solid"/>
            </a:ln>
          </spPr>
          <cat>
            <numRef>
              <f>'3. Phân rã đòi hỏi'!$A$5:$A$10</f>
            </numRef>
          </cat>
          <val>
            <numRef>
              <f>'3. Phân rã đòi hỏi'!$D$5:$D$10</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Độ nhạy ngưỡng: mỗi 0,10 hệ số tải đáng bao nhiêu điểm %</a:t>
            </a:r>
          </a:p>
        </rich>
      </tx>
    </title>
    <plotArea>
      <barChart>
        <barDir val="bar"/>
        <grouping val="clustered"/>
        <ser>
          <idx val="0"/>
          <order val="0"/>
          <spPr>
            <a:ln xmlns:a="http://schemas.openxmlformats.org/drawingml/2006/main">
              <a:prstDash val="solid"/>
            </a:ln>
          </spPr>
          <cat>
            <numRef>
              <f>'3. Phân rã đòi hỏi'!$A$6:$A$10</f>
            </numRef>
          </cat>
          <val>
            <numRef>
              <f>'3. Phân rã đòi hỏi'!$G$6:$G$10</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Đòn bẩy phía tỷ suất đạt được — trung bình 4 pha (%/năm)</a:t>
            </a:r>
          </a:p>
        </rich>
      </tx>
    </title>
    <plotArea>
      <barChart>
        <barDir val="col"/>
        <grouping val="clustered"/>
        <ser>
          <idx val="0"/>
          <order val="0"/>
          <spPr>
            <a:ln xmlns:a="http://schemas.openxmlformats.org/drawingml/2006/main">
              <a:prstDash val="solid"/>
            </a:ln>
          </spPr>
          <cat>
            <numRef>
              <f>'4. Hướng giải quyết'!$A$5:$A$10</f>
            </numRef>
          </cat>
          <val>
            <numRef>
              <f>'4. Hướng giải quyết'!$F$5:$F$10</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%/năm</a:t>
                </a:r>
              </a:p>
            </rich>
          </tx>
        </title>
        <majorTickMark val="none"/>
        <minorTickMark val="none"/>
        <crossAx val="10"/>
      </valAx>
    </plotArea>
    <plotVisOnly val="1"/>
    <dispBlanksAs val="gap"/>
  </chart>
</chartSpace>
</file>

<file path=xl/charts/chart5.xml><?xml version="1.0" encoding="utf-8"?>
<chartSpace xmlns="http://schemas.openxmlformats.org/drawingml/2006/chart">
  <style val="13"/>
  <chart>
    <title>
      <tx>
        <rich>
          <a:bodyPr xmlns:a="http://schemas.openxmlformats.org/drawingml/2006/main"/>
          <a:p xmlns:a="http://schemas.openxmlformats.org/drawingml/2006/main">
            <a:pPr>
              <a:defRPr/>
            </a:pPr>
            <a:r>
              <a:t>Rủi ro – Lợi nhuận (trung bình 4 pha)</a:t>
            </a:r>
          </a:p>
        </rich>
      </tx>
    </title>
    <plotArea>
      <scatterChart>
        <ser>
          <idx val="0"/>
          <order val="0"/>
          <spPr>
            <a:ln xmlns:a="http://schemas.openxmlformats.org/drawingml/2006/main">
              <a:noFill/>
              <a:prstDash val="solid"/>
            </a:ln>
          </spPr>
          <marker>
            <symbol val="circle"/>
            <size val="9"/>
            <spPr>
              <a:ln xmlns:a="http://schemas.openxmlformats.org/drawingml/2006/main">
                <a:prstDash val="solid"/>
              </a:ln>
            </spPr>
          </marker>
          <xVal>
            <numRef>
              <f>'5. Rủi ro–Lợi nhuận'!$B$5:$B$9</f>
            </numRef>
          </xVal>
          <yVal>
            <numRef>
              <f>'5. Rủi ro–Lợi nhuận'!$C$5</f>
            </numRef>
          </yVal>
        </ser>
        <ser>
          <idx val="1"/>
          <order val="1"/>
          <spPr>
            <a:ln xmlns:a="http://schemas.openxmlformats.org/drawingml/2006/main">
              <a:noFill/>
              <a:prstDash val="solid"/>
            </a:ln>
          </spPr>
          <marker>
            <symbol val="circle"/>
            <size val="9"/>
            <spPr>
              <a:ln xmlns:a="http://schemas.openxmlformats.org/drawingml/2006/main">
                <a:prstDash val="solid"/>
              </a:ln>
            </spPr>
          </marker>
          <xVal>
            <numRef>
              <f>'5. Rủi ro–Lợi nhuận'!$B$5:$B$9</f>
            </numRef>
          </xVal>
          <yVal>
            <numRef>
              <f>'5. Rủi ro–Lợi nhuận'!$C$6</f>
            </numRef>
          </yVal>
        </ser>
        <ser>
          <idx val="2"/>
          <order val="2"/>
          <spPr>
            <a:ln xmlns:a="http://schemas.openxmlformats.org/drawingml/2006/main">
              <a:noFill/>
              <a:prstDash val="solid"/>
            </a:ln>
          </spPr>
          <marker>
            <symbol val="circle"/>
            <size val="9"/>
            <spPr>
              <a:ln xmlns:a="http://schemas.openxmlformats.org/drawingml/2006/main">
                <a:prstDash val="solid"/>
              </a:ln>
            </spPr>
          </marker>
          <xVal>
            <numRef>
              <f>'5. Rủi ro–Lợi nhuận'!$B$5:$B$9</f>
            </numRef>
          </xVal>
          <yVal>
            <numRef>
              <f>'5. Rủi ro–Lợi nhuận'!$C$7</f>
            </numRef>
          </yVal>
        </ser>
        <ser>
          <idx val="3"/>
          <order val="3"/>
          <spPr>
            <a:ln xmlns:a="http://schemas.openxmlformats.org/drawingml/2006/main">
              <a:noFill/>
              <a:prstDash val="solid"/>
            </a:ln>
          </spPr>
          <marker>
            <symbol val="circle"/>
            <size val="9"/>
            <spPr>
              <a:ln xmlns:a="http://schemas.openxmlformats.org/drawingml/2006/main">
                <a:prstDash val="solid"/>
              </a:ln>
            </spPr>
          </marker>
          <xVal>
            <numRef>
              <f>'5. Rủi ro–Lợi nhuận'!$B$5:$B$9</f>
            </numRef>
          </xVal>
          <yVal>
            <numRef>
              <f>'5. Rủi ro–Lợi nhuận'!$C$8</f>
            </numRef>
          </yVal>
        </ser>
        <ser>
          <idx val="4"/>
          <order val="4"/>
          <spPr>
            <a:ln xmlns:a="http://schemas.openxmlformats.org/drawingml/2006/main">
              <a:noFill/>
              <a:prstDash val="solid"/>
            </a:ln>
          </spPr>
          <marker>
            <symbol val="circle"/>
            <size val="9"/>
            <spPr>
              <a:ln xmlns:a="http://schemas.openxmlformats.org/drawingml/2006/main">
                <a:prstDash val="solid"/>
              </a:ln>
            </spPr>
          </marker>
          <xVal>
            <numRef>
              <f>'5. Rủi ro–Lợi nhuận'!$B$5:$B$9</f>
            </numRef>
          </xVal>
          <yVal>
            <numRef>
              <f>'5. Rủi ro–Lợi nhuận'!$C$9</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Sụt giảm tối đa (%)</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CAGR (%/năm)</a:t>
                </a:r>
              </a:p>
            </rich>
          </tx>
        </title>
        <majorTickMark val="none"/>
        <minorTickMark val="none"/>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Độ nhạy số ô — mỗi pha một đường</a:t>
            </a:r>
          </a:p>
        </rich>
      </tx>
    </title>
    <plotArea>
      <lineChart>
        <grouping val="standard"/>
        <ser>
          <idx val="0"/>
          <order val="0"/>
          <tx>
            <strRef>
              <f>'6. Dữ liệu thô'!B25</f>
            </strRef>
          </tx>
          <spPr>
            <a:ln xmlns:a="http://schemas.openxmlformats.org/drawingml/2006/main">
              <a:prstDash val="solid"/>
            </a:ln>
          </spPr>
          <marker>
            <symbol val="none"/>
            <spPr>
              <a:ln xmlns:a="http://schemas.openxmlformats.org/drawingml/2006/main">
                <a:prstDash val="solid"/>
              </a:ln>
            </spPr>
          </marker>
          <cat>
            <numRef>
              <f>'6. Dữ liệu thô'!$A$26:$A$31</f>
            </numRef>
          </cat>
          <val>
            <numRef>
              <f>'6. Dữ liệu thô'!$B$26:$B$31</f>
            </numRef>
          </val>
        </ser>
        <ser>
          <idx val="1"/>
          <order val="1"/>
          <tx>
            <strRef>
              <f>'6. Dữ liệu thô'!C25</f>
            </strRef>
          </tx>
          <spPr>
            <a:ln xmlns:a="http://schemas.openxmlformats.org/drawingml/2006/main">
              <a:prstDash val="solid"/>
            </a:ln>
          </spPr>
          <marker>
            <symbol val="none"/>
            <spPr>
              <a:ln xmlns:a="http://schemas.openxmlformats.org/drawingml/2006/main">
                <a:prstDash val="solid"/>
              </a:ln>
            </spPr>
          </marker>
          <cat>
            <numRef>
              <f>'6. Dữ liệu thô'!$A$26:$A$31</f>
            </numRef>
          </cat>
          <val>
            <numRef>
              <f>'6. Dữ liệu thô'!$C$26:$C$31</f>
            </numRef>
          </val>
        </ser>
        <ser>
          <idx val="2"/>
          <order val="2"/>
          <tx>
            <strRef>
              <f>'6. Dữ liệu thô'!D25</f>
            </strRef>
          </tx>
          <spPr>
            <a:ln xmlns:a="http://schemas.openxmlformats.org/drawingml/2006/main">
              <a:prstDash val="solid"/>
            </a:ln>
          </spPr>
          <marker>
            <symbol val="none"/>
            <spPr>
              <a:ln xmlns:a="http://schemas.openxmlformats.org/drawingml/2006/main">
                <a:prstDash val="solid"/>
              </a:ln>
            </spPr>
          </marker>
          <cat>
            <numRef>
              <f>'6. Dữ liệu thô'!$A$26:$A$31</f>
            </numRef>
          </cat>
          <val>
            <numRef>
              <f>'6. Dữ liệu thô'!$D$26:$D$31</f>
            </numRef>
          </val>
        </ser>
        <ser>
          <idx val="3"/>
          <order val="3"/>
          <tx>
            <strRef>
              <f>'6. Dữ liệu thô'!E25</f>
            </strRef>
          </tx>
          <spPr>
            <a:ln xmlns:a="http://schemas.openxmlformats.org/drawingml/2006/main">
              <a:prstDash val="solid"/>
            </a:ln>
          </spPr>
          <marker>
            <symbol val="none"/>
            <spPr>
              <a:ln xmlns:a="http://schemas.openxmlformats.org/drawingml/2006/main">
                <a:prstDash val="solid"/>
              </a:ln>
            </spPr>
          </marker>
          <cat>
            <numRef>
              <f>'6. Dữ liệu thô'!$A$26:$A$31</f>
            </numRef>
          </cat>
          <val>
            <numRef>
              <f>'6. Dữ liệu thô'!$E$26:$E$31</f>
            </numRef>
          </val>
        </ser>
        <ser>
          <idx val="4"/>
          <order val="4"/>
          <tx>
            <strRef>
              <f>'6. Dữ liệu thô'!F25</f>
            </strRef>
          </tx>
          <spPr>
            <a:ln xmlns:a="http://schemas.openxmlformats.org/drawingml/2006/main">
              <a:prstDash val="solid"/>
            </a:ln>
          </spPr>
          <marker>
            <symbol val="none"/>
            <spPr>
              <a:ln xmlns:a="http://schemas.openxmlformats.org/drawingml/2006/main">
                <a:prstDash val="solid"/>
              </a:ln>
            </spPr>
          </marker>
          <cat>
            <numRef>
              <f>'6. Dữ liệu thô'!$A$26:$A$31</f>
            </numRef>
          </cat>
          <val>
            <numRef>
              <f>'6. Dữ liệu thô'!$F$26:$F$31</f>
            </numRef>
          </val>
        </ser>
        <axId val="10"/>
        <axId val="100"/>
      </lineChart>
      <catAx>
        <axId val="10"/>
        <scaling>
          <orientation val="minMax"/>
        </scaling>
        <axPos val="l"/>
        <title>
          <tx>
            <rich>
              <a:bodyPr xmlns:a="http://schemas.openxmlformats.org/drawingml/2006/main"/>
              <a:p xmlns:a="http://schemas.openxmlformats.org/drawingml/2006/main">
                <a:pPr>
                  <a:defRPr/>
                </a:pPr>
                <a:r>
                  <a:t>Số ô danh mục</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CAGR (%/năm)</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 Type="http://schemas.openxmlformats.org/officeDocument/2006/relationships/chart" Target="/xl/charts/chart3.xml" Id="rId2"/></Relationships>
</file>

<file path=xl/drawings/_rels/drawing3.xml.rels><Relationships xmlns="http://schemas.openxmlformats.org/package/2006/relationships"><Relationship Type="http://schemas.openxmlformats.org/officeDocument/2006/relationships/chart" Target="/xl/charts/chart4.xml" Id="rId1"/></Relationships>
</file>

<file path=xl/drawings/_rels/drawing4.xml.rels><Relationships xmlns="http://schemas.openxmlformats.org/package/2006/relationships"><Relationship Type="http://schemas.openxmlformats.org/officeDocument/2006/relationships/chart" Target="/xl/charts/chart5.xml" Id="rId1"/></Relationships>
</file>

<file path=xl/drawings/_rels/drawing5.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oneCellAnchor>
    <from>
      <col>5</col>
      <colOff>0</colOff>
      <row>3</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8</col>
      <colOff>0</colOff>
      <row>3</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23</row>
      <rowOff>0</rowOff>
    </from>
    <ext cx="648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3.xml><?xml version="1.0" encoding="utf-8"?>
<wsDr xmlns="http://schemas.openxmlformats.org/drawingml/2006/spreadsheetDrawing">
  <oneCellAnchor>
    <from>
      <col>10</col>
      <colOff>0</colOff>
      <row>3</row>
      <rowOff>0</rowOff>
    </from>
    <ext cx="720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5</col>
      <colOff>0</colOff>
      <row>3</row>
      <rowOff>0</rowOff>
    </from>
    <ext cx="720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8</col>
      <colOff>0</colOff>
      <row>3</row>
      <rowOff>0</rowOff>
    </from>
    <ext cx="720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H28"/>
  <sheetViews>
    <sheetView showGridLines="0" workbookViewId="0">
      <selection activeCell="A1" sqref="A1"/>
    </sheetView>
  </sheetViews>
  <sheetFormatPr baseColWidth="8" defaultRowHeight="15"/>
  <cols>
    <col width="46" customWidth="1" min="1" max="1"/>
    <col width="14" customWidth="1" min="2" max="2"/>
    <col width="18" customWidth="1" min="3" max="3"/>
    <col width="18" customWidth="1" min="4" max="4"/>
    <col width="14" customWidth="1" min="5" max="5"/>
    <col width="14" customWidth="1" min="6" max="6"/>
    <col width="14" customWidth="1" min="7" max="7"/>
    <col width="14" customWidth="1" min="8" max="8"/>
  </cols>
  <sheetData>
    <row r="1">
      <c r="A1" s="1" t="inlineStr">
        <is>
          <t>THAM SỐ ĐẦU VÀO</t>
        </is>
      </c>
    </row>
    <row r="2">
      <c r="A2" s="2" t="inlineStr">
        <is>
          <t>Ô nền vàng là ô được phép sửa. Sửa xong, toàn bộ các sheet khác tự tính lại.</t>
        </is>
      </c>
    </row>
    <row r="4">
      <c r="A4" s="3" t="inlineStr">
        <is>
          <t>A. Mô hình Fama–French 5 nhân tố (Bảng CS.1, bản chốt 24/08/2026)</t>
        </is>
      </c>
    </row>
    <row r="5">
      <c r="A5" s="4" t="inlineStr">
        <is>
          <t>Thành phần</t>
        </is>
      </c>
      <c r="B5" s="4" t="inlineStr">
        <is>
          <t>Hệ số tải b</t>
        </is>
      </c>
      <c r="C5" s="4" t="inlineStr">
        <is>
          <t>Phần bù λ (%/năm)</t>
        </is>
      </c>
      <c r="D5" s="4" t="inlineStr">
        <is>
          <t>Đóng góp (điểm %)</t>
        </is>
      </c>
    </row>
    <row r="6">
      <c r="A6" s="5" t="inlineStr">
        <is>
          <t>Rf — lãi suất phi rủi ro (TPCP 10 năm, 21/08/2026)</t>
        </is>
      </c>
      <c r="B6" s="6" t="inlineStr">
        <is>
          <t>—</t>
        </is>
      </c>
      <c r="C6" s="6" t="inlineStr">
        <is>
          <t>—</t>
        </is>
      </c>
      <c r="D6" s="7" t="n">
        <v>4.56</v>
      </c>
    </row>
    <row r="7">
      <c r="A7" s="5" t="inlineStr">
        <is>
          <t>MKT — rủi ro thị trường</t>
        </is>
      </c>
      <c r="B7" s="8" t="n">
        <v>0.6820000000000001</v>
      </c>
      <c r="C7" s="9" t="n">
        <v>8.130000000000001</v>
      </c>
      <c r="D7" s="7">
        <f>B7*C7</f>
        <v/>
      </c>
    </row>
    <row r="8">
      <c r="A8" s="5" t="inlineStr">
        <is>
          <t>SMB — quy mô</t>
        </is>
      </c>
      <c r="B8" s="8" t="n">
        <v>-0.131</v>
      </c>
      <c r="C8" s="9" t="n">
        <v>1.71</v>
      </c>
      <c r="D8" s="7">
        <f>B8*C8</f>
        <v/>
      </c>
    </row>
    <row r="9">
      <c r="A9" s="5" t="inlineStr">
        <is>
          <t>HML — giá trị</t>
        </is>
      </c>
      <c r="B9" s="8" t="n">
        <v>-0.116</v>
      </c>
      <c r="C9" s="9" t="n">
        <v>3.49</v>
      </c>
      <c r="D9" s="7">
        <f>B9*C9</f>
        <v/>
      </c>
    </row>
    <row r="10">
      <c r="A10" s="5" t="inlineStr">
        <is>
          <t>RMW — khả năng sinh lời</t>
        </is>
      </c>
      <c r="B10" s="8" t="n">
        <v>0.118</v>
      </c>
      <c r="C10" s="9" t="n">
        <v>3.47</v>
      </c>
      <c r="D10" s="7">
        <f>B10*C10</f>
        <v/>
      </c>
    </row>
    <row r="11">
      <c r="A11" s="5" t="inlineStr">
        <is>
          <t>CMA — cường độ đầu tư</t>
        </is>
      </c>
      <c r="B11" s="8" t="n">
        <v>-0.17</v>
      </c>
      <c r="C11" s="9" t="n">
        <v>1.26</v>
      </c>
      <c r="D11" s="7">
        <f>B11*C11</f>
        <v/>
      </c>
    </row>
    <row r="12">
      <c r="A12" s="5" t="inlineStr">
        <is>
          <t>TỶ SUẤT SINH LỜI ĐÒI HỎI (Re)</t>
        </is>
      </c>
      <c r="B12" s="10" t="n"/>
      <c r="C12" s="10" t="n"/>
      <c r="D12" s="11">
        <f>SUM(D6:D11)</f>
        <v/>
      </c>
    </row>
    <row r="13" ht="30" customHeight="1">
      <c r="A13" s="12" t="inlineStr">
        <is>
          <t>Re = Rf + b_MKT×MRP + b_SMB×λ_SMB + b_HML×λ_HML + b_RMW×λ_RMW + b_CMA×λ_CMA.  Bốn λ phi thị trường đã được thu hẹp một nửa về 0 vì không nhân tố nào có ý nghĩa thống kê vững. Hệ số tải suy từ đặc điểm danh mục, chưa hồi quy trên chuỗi nhân tố thật.</t>
        </is>
      </c>
    </row>
    <row r="15">
      <c r="A15" s="5" t="inlineStr">
        <is>
          <t>B. Đối chiếu CAPM (cùng Rf và cùng phần bù thị trường)</t>
        </is>
      </c>
      <c r="B15" s="10" t="n"/>
      <c r="C15" s="10" t="n"/>
      <c r="D15" s="10" t="n"/>
    </row>
    <row r="16">
      <c r="A16" s="10" t="inlineStr">
        <is>
          <t>Re theo CAPM = Rf + b_MKT × MRP</t>
        </is>
      </c>
      <c r="B16" s="10" t="n"/>
      <c r="C16" s="10" t="n"/>
      <c r="D16" s="7">
        <f>D6+B7*C7</f>
        <v/>
      </c>
    </row>
    <row r="17">
      <c r="A17" s="10" t="inlineStr">
        <is>
          <t>Chênh lệch FF5 − CAPM (điểm %)</t>
        </is>
      </c>
      <c r="B17" s="10" t="n"/>
      <c r="C17" s="10" t="n"/>
      <c r="D17" s="13">
        <f>D12-D16</f>
        <v/>
      </c>
    </row>
    <row r="18" ht="30" customHeight="1">
      <c r="A18" s="12" t="inlineStr">
        <is>
          <t>Chênh lệch nhỏ vì bốn độ nghiêng nhân tố gần như triệt tiêu nhau: thưởng cho khả năng sinh lời bù lại phạt cho quy mô lớn, định giá đắt và cường độ đầu tư mạnh. Giá trị của việc đổi mô hình không nằm ở mức hạ ngưỡng mà ở chỗ biết mình đang cầm loại rủi ro gì.</t>
        </is>
      </c>
    </row>
    <row r="20">
      <c r="A20" s="3" t="inlineStr">
        <is>
          <t>C. Kết quả kiểm định — 4 pha lưới lấy mẫu, 52 tháng, đã trừ phí 0,4%/vòng quay</t>
        </is>
      </c>
    </row>
    <row r="21">
      <c r="A21" s="4" t="inlineStr">
        <is>
          <t>Pha lưới (ngày cuối)</t>
        </is>
      </c>
      <c r="B21" s="4" t="inlineStr">
        <is>
          <t>Quỹ — CAGR (%)</t>
        </is>
      </c>
      <c r="C21" s="4" t="inlineStr">
        <is>
          <t>VN-Index (%)</t>
        </is>
      </c>
      <c r="D21" s="4" t="inlineStr">
        <is>
          <t>Vượt chỉ số (điểm %)</t>
        </is>
      </c>
      <c r="E21" s="4" t="inlineStr">
        <is>
          <t>Sụt giảm tối đa (%)</t>
        </is>
      </c>
      <c r="F21" s="4" t="inlineStr">
        <is>
          <t>Alpha tháng (%)</t>
        </is>
      </c>
      <c r="G21" s="4" t="inlineStr">
        <is>
          <t>Thống kê t</t>
        </is>
      </c>
    </row>
    <row r="22">
      <c r="A22" s="5" t="inlineStr">
        <is>
          <t>Pha 0 — 2026-08-24</t>
        </is>
      </c>
      <c r="B22" s="7" t="n">
        <v>7.649999999999999</v>
      </c>
      <c r="C22" s="7" t="n">
        <v>8.32</v>
      </c>
      <c r="D22" s="13">
        <f>B22-C22</f>
        <v/>
      </c>
      <c r="E22" s="14" t="n">
        <v>-36.1</v>
      </c>
      <c r="F22" s="15" t="n">
        <v>0.032</v>
      </c>
      <c r="G22" s="7" t="n">
        <v>0.04</v>
      </c>
    </row>
    <row r="23">
      <c r="A23" s="5" t="inlineStr">
        <is>
          <t>Pha 1 — 2026-08-17</t>
        </is>
      </c>
      <c r="B23" s="7" t="n">
        <v>9.370000000000001</v>
      </c>
      <c r="C23" s="7" t="n">
        <v>8.09</v>
      </c>
      <c r="D23" s="13">
        <f>B23-C23</f>
        <v/>
      </c>
      <c r="E23" s="14" t="n">
        <v>-32.47</v>
      </c>
      <c r="F23" s="15" t="n">
        <v>0.186</v>
      </c>
      <c r="G23" s="7" t="n">
        <v>0.24</v>
      </c>
    </row>
    <row r="24">
      <c r="A24" s="5" t="inlineStr">
        <is>
          <t>Pha 2 — 2026-08-10</t>
        </is>
      </c>
      <c r="B24" s="7" t="n">
        <v>8.699999999999999</v>
      </c>
      <c r="C24" s="7" t="n">
        <v>7.71</v>
      </c>
      <c r="D24" s="13">
        <f>B24-C24</f>
        <v/>
      </c>
      <c r="E24" s="14" t="n">
        <v>-25.35</v>
      </c>
      <c r="F24" s="15" t="n">
        <v>0.116</v>
      </c>
      <c r="G24" s="7" t="n">
        <v>0.2</v>
      </c>
    </row>
    <row r="25">
      <c r="A25" s="5" t="inlineStr">
        <is>
          <t>Pha 3 — 2026-08-03</t>
        </is>
      </c>
      <c r="B25" s="7" t="n">
        <v>10.49</v>
      </c>
      <c r="C25" s="7" t="n">
        <v>9.229999999999999</v>
      </c>
      <c r="D25" s="13">
        <f>B25-C25</f>
        <v/>
      </c>
      <c r="E25" s="14" t="n">
        <v>-23.89</v>
      </c>
      <c r="F25" s="15" t="n">
        <v>0.123</v>
      </c>
      <c r="G25" s="7" t="n">
        <v>0.22</v>
      </c>
    </row>
    <row r="26">
      <c r="A26" s="5" t="inlineStr">
        <is>
          <t>TRUNG BÌNH 4 PHA</t>
        </is>
      </c>
      <c r="B26" s="16">
        <f>AVERAGE(B22:B25)</f>
        <v/>
      </c>
      <c r="C26" s="16">
        <f>AVERAGE(C22:C25)</f>
        <v/>
      </c>
      <c r="D26" s="17">
        <f>AVERAGE(D22:D25)</f>
        <v/>
      </c>
      <c r="E26" s="16">
        <f>AVERAGE(E22:E25)</f>
        <v/>
      </c>
      <c r="F26" s="18">
        <f>AVERAGE(F22:F25)</f>
        <v/>
      </c>
      <c r="G26" s="16">
        <f>AVERAGE(G22:G25)</f>
        <v/>
      </c>
    </row>
    <row r="27">
      <c r="A27" s="5" t="inlineStr">
        <is>
          <t>Biên độ (thấp nhất → cao nhất)</t>
        </is>
      </c>
      <c r="B27" s="10">
        <f>TEXT(MIN(B22:B25),"0.00")&amp;" → "&amp;TEXT(MAX(B22:B25),"0.00")</f>
        <v/>
      </c>
      <c r="C27" s="10">
        <f>TEXT(MIN(C22:C25),"0.00")&amp;" → "&amp;TEXT(MAX(C22:C25),"0.00")</f>
        <v/>
      </c>
      <c r="D27" s="10" t="n"/>
      <c r="E27" s="10" t="n"/>
      <c r="F27" s="10" t="n"/>
      <c r="G27" s="10" t="n"/>
    </row>
    <row r="28" ht="30" customHeight="1">
      <c r="A28" s="12" t="inlineStr">
        <is>
          <t>Bốn pha khác nhau ở chỗ neo lưới lấy mẫu tháng vào tuần nào — chỉ lệch nhau một tuần. Chúng KHÔNG phải bốn quan sát độc lập vì dùng chung phần lớn dữ liệu; lấy trung bình loại được sự may rủi của một lần rút thăm, nhưng không nhân bốn lượng thông tin.</t>
        </is>
      </c>
    </row>
  </sheetData>
  <mergeCells count="3">
    <mergeCell ref="A18:H18"/>
    <mergeCell ref="A13:H13"/>
    <mergeCell ref="A28:H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
  <sheetViews>
    <sheetView showGridLines="0" workbookViewId="0">
      <selection activeCell="A1" sqref="A1"/>
    </sheetView>
  </sheetViews>
  <sheetFormatPr baseColWidth="8" defaultRowHeight="15"/>
  <cols>
    <col width="52" customWidth="1" min="1" max="1"/>
    <col width="16" customWidth="1" min="2" max="2"/>
    <col width="42" customWidth="1" min="3" max="3"/>
    <col width="16" customWidth="1" min="4" max="4"/>
    <col width="16" customWidth="1" min="5" max="5"/>
  </cols>
  <sheetData>
    <row r="1">
      <c r="A1" s="1" t="inlineStr">
        <is>
          <t>ĐO ĐƯỢC so với ĐÒI HỎI — khoảng cách và ý nghĩa</t>
        </is>
      </c>
    </row>
    <row r="4">
      <c r="A4" s="19" t="inlineStr">
        <is>
          <t>Chỉ tiêu</t>
        </is>
      </c>
      <c r="B4" s="19" t="inlineStr">
        <is>
          <t>Giá trị (%/năm)</t>
        </is>
      </c>
      <c r="C4" s="19" t="inlineStr">
        <is>
          <t>Nguồn</t>
        </is>
      </c>
    </row>
    <row r="5">
      <c r="A5" s="5" t="inlineStr">
        <is>
          <t>① Tỷ suất ĐO ĐƯỢC của Quỹ (TB 4 pha)</t>
        </is>
      </c>
      <c r="B5" s="7">
        <f>'1. Tham số'!B26</f>
        <v/>
      </c>
      <c r="C5" s="10" t="inlineStr">
        <is>
          <t>Backtest 52 tháng, 4 pha lưới, đã trừ phí</t>
        </is>
      </c>
    </row>
    <row r="6">
      <c r="A6" s="5" t="inlineStr">
        <is>
          <t>② VN-Index mua &amp; giữ (TB 4 pha)</t>
        </is>
      </c>
      <c r="B6" s="7">
        <f>'1. Tham số'!C26</f>
        <v/>
      </c>
      <c r="C6" s="10" t="inlineStr">
        <is>
          <t>Cùng kỳ, cùng phương pháp đo</t>
        </is>
      </c>
    </row>
    <row r="7">
      <c r="A7" s="5" t="inlineStr">
        <is>
          <t>③ Tỷ suất ĐÒI HỎI theo FF5 (Re)</t>
        </is>
      </c>
      <c r="B7" s="7">
        <f>'1. Tham số'!D12</f>
        <v/>
      </c>
      <c r="C7" s="10" t="inlineStr">
        <is>
          <t>Bảng CS.1 — ngưỡng bù đủ rủi ro đang mang</t>
        </is>
      </c>
    </row>
    <row r="8">
      <c r="A8" s="5" t="inlineStr">
        <is>
          <t>④ Tỷ suất phi rủi ro (TPCP 10 năm)</t>
        </is>
      </c>
      <c r="B8" s="7">
        <f>'1. Tham số'!D6</f>
        <v/>
      </c>
      <c r="C8" s="10" t="inlineStr">
        <is>
          <t>Không rủi ro, không công sức</t>
        </is>
      </c>
    </row>
    <row r="9">
      <c r="A9" s="10" t="n"/>
      <c r="B9" s="10" t="n"/>
      <c r="C9" s="10" t="n"/>
    </row>
    <row r="10">
      <c r="A10" s="20" t="inlineStr">
        <is>
          <t>KHOẢNG CÁCH</t>
        </is>
      </c>
      <c r="B10" s="10" t="n"/>
      <c r="C10" s="10" t="n"/>
    </row>
    <row r="11">
      <c r="A11" s="5" t="inlineStr">
        <is>
          <t>Alpha theo FF5  =  ① − ③</t>
        </is>
      </c>
      <c r="B11" s="21">
        <f>B5-B7</f>
        <v/>
      </c>
      <c r="C11" s="10" t="inlineStr">
        <is>
          <t>Âm = chưa bù đủ phần rủi ro đang mang</t>
        </is>
      </c>
    </row>
    <row r="12">
      <c r="A12" s="5" t="inlineStr">
        <is>
          <t>Vượt chỉ số  =  ① − ②</t>
        </is>
      </c>
      <c r="B12" s="13">
        <f>B5-B6</f>
        <v/>
      </c>
      <c r="C12" s="10" t="inlineStr">
        <is>
          <t>Thống kê t từ 0,04 đến 0,24 → không phân biệt được với 0</t>
        </is>
      </c>
    </row>
    <row r="13">
      <c r="A13" s="5" t="inlineStr">
        <is>
          <t>Phần bù trên lãi suất phi rủi ro  =  ① − ④</t>
        </is>
      </c>
      <c r="B13" s="13">
        <f>B5-B8</f>
        <v/>
      </c>
      <c r="C13" s="10" t="inlineStr">
        <is>
          <t>Phần thưởng cho toàn bộ rủi ro và công sức bỏ ra</t>
        </is>
      </c>
    </row>
    <row r="15">
      <c r="A15" s="3" t="inlineStr">
        <is>
          <t>Đọc đúng ba con số trên</t>
        </is>
      </c>
    </row>
    <row r="16" ht="30" customHeight="1">
      <c r="A16" s="12" t="inlineStr">
        <is>
          <t>Alpha FF5 âm KHÔNG có nghĩa hệ thống thua lỗ. Nó có nghĩa: với đúng những rủi ro mà danh mục đang phơi nhiễm (beta thị trường 0,682, nghiêng vốn hoá lớn, nghiêng tăng trưởng, nghiêng doanh nghiệp sinh lời tốt, nghiêng mở rộng tài sản nhanh), một nhà đầu tư có thể kỳ vọng 9,67%/năm mà không cần chọn mã. Quỹ đạt thấp hơn thế.</t>
        </is>
      </c>
    </row>
    <row r="17" ht="30" customHeight="1">
      <c r="A17" s="12" t="inlineStr">
        <is>
          <t>Nhưng khoảng cách −0,6 điểm phần trăm nằm gọn trong sai số. Thống kê t của alpha vượt chỉ số chỉ 0,04–0,24, và bản thân tỷ suất đo được dao động 7,65–10,49% tuỳ pha lưới. Kết luận trung thực: KHÔNG phân biệt được Quỹ với ngưỡng đòi hỏi, chứ không phải Quỹ chắc chắn dưới ngưỡng.</t>
        </is>
      </c>
    </row>
    <row r="18" ht="30" customHeight="1">
      <c r="A18" s="12" t="inlineStr">
        <is>
          <t>Vì vậy sheet 4 chia hướng giải quyết làm hai nhóm: nhóm nâng tử số (tỷ suất đạt được) và nhóm hạ mẫu số (ngưỡng đòi hỏi). Nhóm thứ hai chắc chắn về mặt cơ học; nhóm thứ nhất thì không.</t>
        </is>
      </c>
    </row>
  </sheetData>
  <mergeCells count="3">
    <mergeCell ref="A16:E16"/>
    <mergeCell ref="A17:E17"/>
    <mergeCell ref="A18:E18"/>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4"/>
  <sheetViews>
    <sheetView showGridLines="0" workbookViewId="0">
      <selection activeCell="A1" sqref="A1"/>
    </sheetView>
  </sheetViews>
  <sheetFormatPr baseColWidth="8" defaultRowHeight="15"/>
  <cols>
    <col width="46" customWidth="1" min="1" max="1"/>
    <col width="17" customWidth="1" min="2" max="2"/>
    <col width="17" customWidth="1" min="3" max="3"/>
    <col width="17" customWidth="1" min="4" max="4"/>
    <col width="17" customWidth="1" min="5" max="5"/>
    <col width="17" customWidth="1" min="6" max="6"/>
    <col width="17" customWidth="1" min="7" max="7"/>
  </cols>
  <sheetData>
    <row r="1">
      <c r="A1" s="1" t="inlineStr">
        <is>
          <t>TỶ SUẤT ĐÒI HỎI ĐẾN TỪ ĐÂU — và mỗi hệ số tải đáng bao nhiêu</t>
        </is>
      </c>
    </row>
    <row r="4">
      <c r="A4" s="4" t="inlineStr">
        <is>
          <t>Thành phần</t>
        </is>
      </c>
      <c r="B4" s="4" t="inlineStr">
        <is>
          <t>Hệ số tải b</t>
        </is>
      </c>
      <c r="C4" s="4" t="inlineStr">
        <is>
          <t>Phần bù λ</t>
        </is>
      </c>
      <c r="D4" s="4" t="inlineStr">
        <is>
          <t>Đóng góp (điểm %)</t>
        </is>
      </c>
      <c r="E4" s="4" t="inlineStr">
        <is>
          <t>Nếu b tăng 0,10</t>
        </is>
      </c>
      <c r="F4" s="4" t="inlineStr">
        <is>
          <t>Nếu b giảm 0,10</t>
        </is>
      </c>
      <c r="G4" s="4" t="inlineStr">
        <is>
          <t>Độ nhạy |Δ| trên 0,10 b</t>
        </is>
      </c>
    </row>
    <row r="5">
      <c r="A5" s="5" t="inlineStr">
        <is>
          <t>Rf — lãi suất phi rủi ro (TPCP 10 năm, 21/08/2026)</t>
        </is>
      </c>
      <c r="B5" s="6" t="inlineStr">
        <is>
          <t>—</t>
        </is>
      </c>
      <c r="C5" s="6" t="inlineStr">
        <is>
          <t>—</t>
        </is>
      </c>
      <c r="D5" s="22">
        <f>'1. Tham số'!D6</f>
        <v/>
      </c>
      <c r="E5" s="6" t="inlineStr">
        <is>
          <t>—</t>
        </is>
      </c>
      <c r="F5" s="6" t="inlineStr">
        <is>
          <t>—</t>
        </is>
      </c>
      <c r="G5" s="6" t="inlineStr">
        <is>
          <t>—</t>
        </is>
      </c>
    </row>
    <row r="6">
      <c r="A6" s="5" t="inlineStr">
        <is>
          <t>MKT — rủi ro thị trường</t>
        </is>
      </c>
      <c r="B6" s="15">
        <f>'1. Tham số'!B7</f>
        <v/>
      </c>
      <c r="C6" s="7">
        <f>'1. Tham số'!C7</f>
        <v/>
      </c>
      <c r="D6" s="7">
        <f>B6*C6</f>
        <v/>
      </c>
      <c r="E6" s="7">
        <f>(B6+0.1)*C6</f>
        <v/>
      </c>
      <c r="F6" s="7">
        <f>(B6-0.1)*C6</f>
        <v/>
      </c>
      <c r="G6" s="7">
        <f>ABS(0.1*C6)</f>
        <v/>
      </c>
    </row>
    <row r="7">
      <c r="A7" s="5" t="inlineStr">
        <is>
          <t>SMB — quy mô</t>
        </is>
      </c>
      <c r="B7" s="15">
        <f>'1. Tham số'!B8</f>
        <v/>
      </c>
      <c r="C7" s="7">
        <f>'1. Tham số'!C8</f>
        <v/>
      </c>
      <c r="D7" s="7">
        <f>B7*C7</f>
        <v/>
      </c>
      <c r="E7" s="7">
        <f>(B7+0.1)*C7</f>
        <v/>
      </c>
      <c r="F7" s="7">
        <f>(B7-0.1)*C7</f>
        <v/>
      </c>
      <c r="G7" s="7">
        <f>ABS(0.1*C7)</f>
        <v/>
      </c>
    </row>
    <row r="8">
      <c r="A8" s="5" t="inlineStr">
        <is>
          <t>HML — giá trị</t>
        </is>
      </c>
      <c r="B8" s="15">
        <f>'1. Tham số'!B9</f>
        <v/>
      </c>
      <c r="C8" s="7">
        <f>'1. Tham số'!C9</f>
        <v/>
      </c>
      <c r="D8" s="7">
        <f>B8*C8</f>
        <v/>
      </c>
      <c r="E8" s="7">
        <f>(B8+0.1)*C8</f>
        <v/>
      </c>
      <c r="F8" s="7">
        <f>(B8-0.1)*C8</f>
        <v/>
      </c>
      <c r="G8" s="7">
        <f>ABS(0.1*C8)</f>
        <v/>
      </c>
    </row>
    <row r="9">
      <c r="A9" s="5" t="inlineStr">
        <is>
          <t>RMW — khả năng sinh lời</t>
        </is>
      </c>
      <c r="B9" s="15">
        <f>'1. Tham số'!B10</f>
        <v/>
      </c>
      <c r="C9" s="7">
        <f>'1. Tham số'!C10</f>
        <v/>
      </c>
      <c r="D9" s="7">
        <f>B9*C9</f>
        <v/>
      </c>
      <c r="E9" s="7">
        <f>(B9+0.1)*C9</f>
        <v/>
      </c>
      <c r="F9" s="7">
        <f>(B9-0.1)*C9</f>
        <v/>
      </c>
      <c r="G9" s="7">
        <f>ABS(0.1*C9)</f>
        <v/>
      </c>
    </row>
    <row r="10">
      <c r="A10" s="5" t="inlineStr">
        <is>
          <t>CMA — cường độ đầu tư</t>
        </is>
      </c>
      <c r="B10" s="15">
        <f>'1. Tham số'!B11</f>
        <v/>
      </c>
      <c r="C10" s="7">
        <f>'1. Tham số'!C11</f>
        <v/>
      </c>
      <c r="D10" s="7">
        <f>B10*C10</f>
        <v/>
      </c>
      <c r="E10" s="7">
        <f>(B10+0.1)*C10</f>
        <v/>
      </c>
      <c r="F10" s="7">
        <f>(B10-0.1)*C10</f>
        <v/>
      </c>
      <c r="G10" s="7">
        <f>ABS(0.1*C10)</f>
        <v/>
      </c>
    </row>
    <row r="11">
      <c r="A11" s="5" t="inlineStr">
        <is>
          <t>TỔNG — Re</t>
        </is>
      </c>
      <c r="B11" s="10" t="n"/>
      <c r="C11" s="10" t="n"/>
      <c r="D11" s="11">
        <f>SUM(D5:D10)</f>
        <v/>
      </c>
      <c r="E11" s="10" t="n"/>
      <c r="F11" s="10" t="n"/>
      <c r="G11" s="10" t="n"/>
    </row>
    <row r="13" ht="30" customHeight="1">
      <c r="A13" s="12" t="inlineStr">
        <is>
          <t>Cột cuối trả lời câu hỏi quan trọng nhất của sheet này: ngưỡng đòi hỏi KHÔNG cố định, nó là hàm của những gì Quỹ đang nắm. Beta thị trường là đòn bẩy lớn nhất — mỗi 0,10 beta đáng 0,81 điểm phần trăm ngưỡng, tức lớn hơn cả khoảng cách hiện tại. Giữ tiền mặt cũng hạ beta hiệu dụng, nên tỷ trọng tiền mặt cao vừa hạ tỷ suất đạt được vừa hạ ngưỡng.</t>
        </is>
      </c>
    </row>
    <row r="14" ht="30" customHeight="1">
      <c r="A14" s="12" t="inlineStr">
        <is>
          <t>Bốn nhân tố còn lại nhỏ hơn hẳn: 0,10 hệ số tải chỉ đáng 0,13–0,35 điểm phần trăm. Điều đó có nghĩa việc xoay danh mục sang mã giá trị hơn hay quy mô nhỏ hơn gần như không dịch được ngưỡng — chỉ beta mới dịch được.</t>
        </is>
      </c>
    </row>
  </sheetData>
  <mergeCells count="2">
    <mergeCell ref="A13:G13"/>
    <mergeCell ref="A14:G14"/>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I23"/>
  <sheetViews>
    <sheetView showGridLines="0"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 width="15" customWidth="1" min="8" max="8"/>
    <col width="60" customWidth="1" min="9" max="9"/>
  </cols>
  <sheetData>
    <row r="1">
      <c r="A1" s="1" t="inlineStr">
        <is>
          <t>CÁC ĐÒN BẨY ĐÓNG KHOẢNG CÁCH — kèm mức độ tin cậy</t>
        </is>
      </c>
    </row>
    <row r="2">
      <c r="A2" s="2" t="inlineStr">
        <is>
          <t>Đòn bẩy chỉ đáng làm khi hiệu ứng trung bình lớn hơn biên độ nhiễu giữa các pha.</t>
        </is>
      </c>
    </row>
    <row r="4">
      <c r="A4" s="4" t="inlineStr">
        <is>
          <t>Đòn bẩy</t>
        </is>
      </c>
      <c r="B4" s="4" t="inlineStr">
        <is>
          <t>Pha 0</t>
        </is>
      </c>
      <c r="C4" s="4" t="inlineStr">
        <is>
          <t>Pha 1</t>
        </is>
      </c>
      <c r="D4" s="4" t="inlineStr">
        <is>
          <t>Pha 2</t>
        </is>
      </c>
      <c r="E4" s="4" t="inlineStr">
        <is>
          <t>Pha 3</t>
        </is>
      </c>
      <c r="F4" s="4" t="inlineStr">
        <is>
          <t>Trung bình</t>
        </is>
      </c>
      <c r="G4" s="4" t="inlineStr">
        <is>
          <t>Δ so với hiện tại</t>
        </is>
      </c>
      <c r="H4" s="4" t="inlineStr">
        <is>
          <t>Thắng mấy pha</t>
        </is>
      </c>
      <c r="I4" s="4" t="inlineStr">
        <is>
          <t>Đánh giá</t>
        </is>
      </c>
    </row>
    <row r="5" ht="46" customHeight="1">
      <c r="A5" s="5" t="inlineStr">
        <is>
          <t>Giảm số ô từ 10 xuống 5</t>
        </is>
      </c>
      <c r="B5" s="7" t="n">
        <v>8.84</v>
      </c>
      <c r="C5" s="7" t="n">
        <v>10.11</v>
      </c>
      <c r="D5" s="7" t="n">
        <v>9.199999999999999</v>
      </c>
      <c r="E5" s="7" t="n">
        <v>14.48</v>
      </c>
      <c r="F5" s="7">
        <f>AVERAGE(B5:E5)</f>
        <v/>
      </c>
      <c r="G5" s="21">
        <f>F5-'2. Khoảng cách'!B5</f>
        <v/>
      </c>
      <c r="H5" s="6" t="inlineStr">
        <is>
          <t>4/4</t>
        </is>
      </c>
      <c r="I5" s="23" t="inlineStr">
        <is>
          <t>Đo được ở 4/4 pha. NHƯNG bản đo cũ kết luận NGƯỢC LẠI (10 ô tốt nhất). Hai phép đo trái nhau ⇒ tham số này không đo được ở cỡ mẫu 52 tháng.</t>
        </is>
      </c>
    </row>
    <row r="6" ht="46" customHeight="1">
      <c r="A6" s="5" t="inlineStr">
        <is>
          <t>Giảm số ô từ 10 xuống 6</t>
        </is>
      </c>
      <c r="B6" s="7" t="n">
        <v>7.86</v>
      </c>
      <c r="C6" s="7" t="n">
        <v>13.29</v>
      </c>
      <c r="D6" s="7" t="n">
        <v>8.290000000000001</v>
      </c>
      <c r="E6" s="7" t="n">
        <v>12.54</v>
      </c>
      <c r="F6" s="7">
        <f>AVERAGE(B6:E6)</f>
        <v/>
      </c>
      <c r="G6" s="21">
        <f>F6-'2. Khoảng cách'!B5</f>
        <v/>
      </c>
      <c r="H6" s="6" t="inlineStr">
        <is>
          <t>3/4</t>
        </is>
      </c>
      <c r="I6" s="23" t="inlineStr">
        <is>
          <t>Như trên, và yếu hơn: thắng 3/4 pha.</t>
        </is>
      </c>
    </row>
    <row r="7" ht="46" customHeight="1">
      <c r="A7" s="5" t="inlineStr">
        <is>
          <t>Rà soát hằng quý thay vì hằng tháng</t>
        </is>
      </c>
      <c r="B7" s="7" t="n">
        <v>4.84</v>
      </c>
      <c r="C7" s="7" t="n">
        <v>12.1</v>
      </c>
      <c r="D7" s="7" t="n">
        <v>10.73</v>
      </c>
      <c r="E7" s="7" t="n">
        <v>18.99</v>
      </c>
      <c r="F7" s="7">
        <f>AVERAGE(B7:E7)</f>
        <v/>
      </c>
      <c r="G7" s="21">
        <f>F7-'2. Khoảng cách'!B5</f>
        <v/>
      </c>
      <c r="H7" s="6" t="inlineStr">
        <is>
          <t>3/4</t>
        </is>
      </c>
      <c r="I7" s="23" t="inlineStr">
        <is>
          <t>Thắng 3/4 pha, sụt giảm nông hơn 5,3 điểm. NHƯNG biên độ 4,84–18,99% là rộng nhất bảng, và trái với bản chốt (Phần 3 quy định rà soát đầu mỗi tháng).</t>
        </is>
      </c>
    </row>
    <row r="8" ht="46" customHeight="1">
      <c r="A8" s="5" t="inlineStr">
        <is>
          <t>Xếp hạng trên toàn rổ thay vì rổ đã lọc</t>
        </is>
      </c>
      <c r="B8" s="7" t="n">
        <v>10.36</v>
      </c>
      <c r="C8" s="7" t="n">
        <v>14.07</v>
      </c>
      <c r="D8" s="7" t="n">
        <v>9.379999999999999</v>
      </c>
      <c r="E8" s="7" t="n">
        <v>14.54</v>
      </c>
      <c r="F8" s="7">
        <f>AVERAGE(B8:E8)</f>
        <v/>
      </c>
      <c r="G8" s="21">
        <f>F8-'2. Khoảng cách'!B5</f>
        <v/>
      </c>
      <c r="H8" s="6" t="inlineStr">
        <is>
          <t>4/4</t>
        </is>
      </c>
      <c r="I8" s="23" t="inlineStr">
        <is>
          <t>Hiệu ứng lớn nhất (+3,0 điểm) và thắng 4/4 pha, sụt giảm cũng nông hơn. NHƯNG trái trực tiếp với Bước 2 của bản chốt FF5.</t>
        </is>
      </c>
    </row>
    <row r="9" ht="46" customHeight="1">
      <c r="A9" s="5" t="inlineStr">
        <is>
          <t>Cân bằng đều thay vì 1/biến động</t>
        </is>
      </c>
      <c r="B9" s="6" t="inlineStr">
        <is>
          <t>—</t>
        </is>
      </c>
      <c r="C9" s="6" t="inlineStr">
        <is>
          <t>—</t>
        </is>
      </c>
      <c r="D9" s="6" t="inlineStr">
        <is>
          <t>—</t>
        </is>
      </c>
      <c r="E9" s="6" t="inlineStr">
        <is>
          <t>—</t>
        </is>
      </c>
      <c r="F9" s="7" t="n">
        <v>9.289999999999999</v>
      </c>
      <c r="G9" s="21">
        <f>F9-'2. Khoảng cách'!B5</f>
        <v/>
      </c>
      <c r="H9" s="6" t="inlineStr">
        <is>
          <t>0/4</t>
        </is>
      </c>
      <c r="I9" s="23" t="inlineStr">
        <is>
          <t>CHỈ CÓ SỐ TRUNG BÌNH (đặt ở cột Trung bình), không lưu số theo pha. Lợi nhuận nhỉnh hơn 0,24 điểm nhưng sụt giảm SÂU HƠN ở 4/4 pha → đánh đổi xấu.</t>
        </is>
      </c>
    </row>
    <row r="10" ht="46" customHeight="1">
      <c r="A10" s="5" t="inlineStr">
        <is>
          <t>Tắt hẳn quy tắc thoát số 3</t>
        </is>
      </c>
      <c r="B10" s="7" t="n">
        <v>10.09</v>
      </c>
      <c r="C10" s="7" t="n">
        <v>6.660000000000001</v>
      </c>
      <c r="D10" s="7" t="n">
        <v>6.18</v>
      </c>
      <c r="E10" s="7" t="n">
        <v>13.55</v>
      </c>
      <c r="F10" s="7">
        <f>AVERAGE(B10:E10)</f>
        <v/>
      </c>
      <c r="G10" s="21">
        <f>F10-'2. Khoảng cách'!B5</f>
        <v/>
      </c>
      <c r="H10" s="6" t="inlineStr">
        <is>
          <t>2/4</t>
        </is>
      </c>
      <c r="I10" s="23" t="inlineStr">
        <is>
          <t>Hiệu ứng trung bình +0,07 điểm, thắng 2/4 pha. Đây là nhiễu thuần tuý.</t>
        </is>
      </c>
    </row>
    <row r="12">
      <c r="A12" s="24" t="inlineStr">
        <is>
          <t>ĐÒN BẨY PHÍA NGƯỠNG ĐÒI HỎI (hạ mẫu số)</t>
        </is>
      </c>
    </row>
    <row r="13">
      <c r="A13" s="4" t="inlineStr">
        <is>
          <t>Thay đổi</t>
        </is>
      </c>
      <c r="B13" s="4" t="inlineStr">
        <is>
          <t>Ngưỡng mới (%)</t>
        </is>
      </c>
      <c r="C13" s="4" t="inlineStr">
        <is>
          <t>Δ ngưỡng</t>
        </is>
      </c>
      <c r="D13" s="4" t="inlineStr"/>
      <c r="E13" s="4" t="inlineStr"/>
      <c r="F13" s="4" t="inlineStr"/>
      <c r="G13" s="4" t="inlineStr"/>
      <c r="H13" s="4" t="inlineStr"/>
      <c r="I13" s="4" t="inlineStr">
        <is>
          <t>Đánh giá</t>
        </is>
      </c>
    </row>
    <row r="14" ht="40" customHeight="1">
      <c r="A14" s="5" t="inlineStr">
        <is>
          <t>Giảm beta thị trường 0,682 → 0,60</t>
        </is>
      </c>
      <c r="B14" s="7">
        <f>('1. Tham số'!D6+0.60*'1. Tham số'!C7+'1. Tham số'!B8*'1. Tham số'!C8+'1. Tham số'!B9*'1. Tham số'!C9+'1. Tham số'!B10*'1. Tham số'!C10+'1. Tham số'!B11*'1. Tham số'!C11)</f>
        <v/>
      </c>
      <c r="C14" s="13">
        <f>B14-'2. Khoảng cách'!B7</f>
        <v/>
      </c>
      <c r="D14" s="10" t="n"/>
      <c r="E14" s="10" t="n"/>
      <c r="F14" s="10" t="n"/>
      <c r="G14" s="10" t="n"/>
      <c r="H14" s="10" t="n"/>
      <c r="I14" s="23" t="inlineStr">
        <is>
          <t>Hạ ngưỡng 0,67 điểm → ĐỦ để đảo dấu alpha FF5 (từ −0,62 thành +0,05) mà không cần cải thiện tỷ suất đạt được chút nào. Đạt bằng cách giữ nhiều tiền mặt hơn hoặc chọn mã beta thấp. Nhưng tiền mặt cũng kéo tỷ suất đạt được xuống — phải đo ròng.</t>
        </is>
      </c>
    </row>
    <row r="15" ht="40" customHeight="1">
      <c r="A15" s="5" t="inlineStr">
        <is>
          <t>Giảm beta thị trường 0,682 → 0,55</t>
        </is>
      </c>
      <c r="B15" s="7">
        <f>('1. Tham số'!D6+0.55*'1. Tham số'!C7+'1. Tham số'!B8*'1. Tham số'!C8+'1. Tham số'!B9*'1. Tham số'!C9+'1. Tham số'!B10*'1. Tham số'!C10+'1. Tham số'!B11*'1. Tham số'!C11)</f>
        <v/>
      </c>
      <c r="C15" s="13">
        <f>B15-'2. Khoảng cách'!B7</f>
        <v/>
      </c>
      <c r="D15" s="10" t="n"/>
      <c r="E15" s="10" t="n"/>
      <c r="F15" s="10" t="n"/>
      <c r="G15" s="10" t="n"/>
      <c r="H15" s="10" t="n"/>
      <c r="I15" s="23" t="inlineStr">
        <is>
          <t>Hạ ngưỡng 1,07 điểm → alpha FF5 thành +0,45. Beta 0,55 tương ứng danh mục phòng thủ hơn hẳn hoặc tỷ trọng tiền mặt cao hơn nữa.</t>
        </is>
      </c>
    </row>
    <row r="16" ht="40" customHeight="1">
      <c r="A16" s="5" t="inlineStr">
        <is>
          <t>Nếu phần bù thị trường hạ 8,13 → 7,00</t>
        </is>
      </c>
      <c r="B16" s="7">
        <f>('1. Tham số'!D6+'1. Tham số'!B7*7.00+'1. Tham số'!B8*'1. Tham số'!C8+'1. Tham số'!B9*'1. Tham số'!C9+'1. Tham số'!B10*'1. Tham số'!C10+'1. Tham số'!B11*'1. Tham số'!C11)</f>
        <v/>
      </c>
      <c r="C16" s="13">
        <f>B16-'2. Khoảng cách'!B7</f>
        <v/>
      </c>
      <c r="D16" s="10" t="n"/>
      <c r="E16" s="10" t="n"/>
      <c r="F16" s="10" t="n"/>
      <c r="G16" s="10" t="n"/>
      <c r="H16" s="10" t="n"/>
      <c r="I16" s="23" t="inlineStr">
        <is>
          <t>Không phải đòn bẩy — là rủi ro giả định. Cho thấy ngưỡng nhạy thế nào với một tham số Quỹ không kiểm soát và cũng không đo được.</t>
        </is>
      </c>
    </row>
    <row r="19">
      <c r="A19" s="25" t="inlineStr">
        <is>
          <t>KẾT LUẬN VỀ HƯỚNG GIẢI QUYẾT</t>
        </is>
      </c>
    </row>
    <row r="20" ht="46" customHeight="1">
      <c r="A20" s="12" t="inlineStr">
        <is>
          <t>1. Không đòn bẩy nào ở nhóm trên đáng tin. Đòn bẩy mạnh nhất (đổi phạm vi xếp hạng, +3,0 điểm) trái trực tiếp với bản chốt; hai đòn bẩy tiếp theo (số ô, chu kỳ rà soát) đều đã cho kết luận NGƯỢC LẠI ở phép đo trước, nên chúng đo cái nhiễu chứ không đo cái thật. Đổi tham số theo phép đo mới nhất chỉ là thay một lần rút thăm bằng một lần rút thăm khác.</t>
        </is>
      </c>
    </row>
    <row r="21" ht="46" customHeight="1">
      <c r="A21" s="12" t="inlineStr">
        <is>
          <t>2. Đòn bẩy duy nhất chắc chắn về mặt cơ học nằm ở phía ngưỡng: hạ beta. Mỗi 0,10 beta đáng 0,81 điểm phần trăm ngưỡng — lớn hơn cả khoảng cách hiện tại. Nhưng đây là con dao hai lưỡi: hạ beta bằng cách giữ tiền mặt cũng hạ tỷ suất đạt được, nên phải đo ròng chứ không được kết luận từ một vế.</t>
        </is>
      </c>
    </row>
    <row r="22" ht="46" customHeight="1">
      <c r="A22" s="12" t="inlineStr">
        <is>
          <t>3. Hướng đúng nhất lại không phải một đòn bẩy tham số: cỡ mẫu quá nhỏ. 52 tháng cho thống kê t khoảng 0,2. Muốn phân biệt được +0,7 điểm phần trăm với 0 ở mức tin cậy thông thường, cần khoảng 15–20 năm dữ liệu tháng, hoặc chuyển sang dữ liệu tuần để tăng số quan sát. Đó là việc đáng làm trước khi đổi bất kỳ tham số nào.</t>
        </is>
      </c>
    </row>
    <row r="23" ht="46" customHeight="1">
      <c r="A23" s="12" t="inlineStr">
        <is>
          <t>4. Việc nên làm ngay và không tốn gì: bổ sung chuỗi nhân tố Việt Nam tự dựng (xay_dung_factor_ff5_vn.py) để hồi quy hệ số tải THẬT thay vì suy từ đặc điểm danh mục. Hiện cả năm hệ số tải đều là ước lượng, nên bản thân ngưỡng 9,67% cũng có sai số chưa được đo. Có thể khoảng cách −0,6 điểm nhỏ hơn sai số của chính cái ngưỡng.</t>
        </is>
      </c>
    </row>
  </sheetData>
  <mergeCells count="4">
    <mergeCell ref="A23:I23"/>
    <mergeCell ref="A20:I20"/>
    <mergeCell ref="A21:I21"/>
    <mergeCell ref="A22:I22"/>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E11"/>
  <sheetViews>
    <sheetView showGridLines="0" workbookViewId="0">
      <selection activeCell="A1" sqref="A1"/>
    </sheetView>
  </sheetViews>
  <sheetFormatPr baseColWidth="8" defaultRowHeight="15"/>
  <cols>
    <col width="40" customWidth="1" min="1" max="1"/>
    <col width="20" customWidth="1" min="2" max="2"/>
    <col width="20" customWidth="1" min="3" max="3"/>
    <col width="20" customWidth="1" min="4" max="4"/>
  </cols>
  <sheetData>
    <row r="1">
      <c r="A1" s="1" t="inlineStr">
        <is>
          <t>MỖI PHƯƠNG ÁN ĐÁNH ĐỔI THẾ NÀO</t>
        </is>
      </c>
    </row>
    <row r="2">
      <c r="A2" s="2" t="inlineStr">
        <is>
          <t>Trục hoành: mức sụt giảm tối đa. Trục tung: tỷ suất. Góc trên-trái là tốt nhất.</t>
        </is>
      </c>
    </row>
    <row r="4">
      <c r="A4" s="4" t="inlineStr">
        <is>
          <t>Phương án</t>
        </is>
      </c>
      <c r="B4" s="4" t="inlineStr">
        <is>
          <t>Sụt giảm tối đa (%)</t>
        </is>
      </c>
      <c r="C4" s="4" t="inlineStr">
        <is>
          <t>CAGR (%/năm)</t>
        </is>
      </c>
      <c r="D4" s="4" t="inlineStr">
        <is>
          <t>Vượt ngưỡng đòi hỏi</t>
        </is>
      </c>
    </row>
    <row r="5">
      <c r="A5" s="5" t="inlineStr">
        <is>
          <t>Hệ thống hiện hành (rổ đã lọc, 10 ô, tháng)</t>
        </is>
      </c>
      <c r="B5" s="14" t="n">
        <v>29.4525</v>
      </c>
      <c r="C5" s="7" t="n">
        <v>9.0525</v>
      </c>
      <c r="D5" s="13">
        <f>C5-'2. Khoảng cách'!B7</f>
        <v/>
      </c>
    </row>
    <row r="6">
      <c r="A6" s="5" t="inlineStr">
        <is>
          <t>Xếp hạng toàn rổ</t>
        </is>
      </c>
      <c r="B6" s="14" t="n">
        <v>23.2275</v>
      </c>
      <c r="C6" s="7" t="n">
        <v>12.0875</v>
      </c>
      <c r="D6" s="13">
        <f>C6-'2. Khoảng cách'!B7</f>
        <v/>
      </c>
    </row>
    <row r="7">
      <c r="A7" s="5" t="inlineStr">
        <is>
          <t>Rà soát hằng quý</t>
        </is>
      </c>
      <c r="B7" s="14" t="n">
        <v>24.14</v>
      </c>
      <c r="C7" s="7" t="n">
        <v>11.67</v>
      </c>
      <c r="D7" s="13">
        <f>C7-'2. Khoảng cách'!B7</f>
        <v/>
      </c>
    </row>
    <row r="8">
      <c r="A8" s="5" t="inlineStr">
        <is>
          <t>Cân bằng đều</t>
        </is>
      </c>
      <c r="B8" s="14" t="n">
        <v>30.93</v>
      </c>
      <c r="C8" s="7" t="n">
        <v>9.289999999999999</v>
      </c>
      <c r="D8" s="13">
        <f>C8-'2. Khoảng cách'!B7</f>
        <v/>
      </c>
    </row>
    <row r="9">
      <c r="A9" s="5" t="inlineStr">
        <is>
          <t>Tắt quy tắc thoát 3</t>
        </is>
      </c>
      <c r="B9" s="14" t="n">
        <v>23.6425</v>
      </c>
      <c r="C9" s="7" t="n">
        <v>9.120000000000001</v>
      </c>
      <c r="D9" s="13">
        <f>C9-'2. Khoảng cách'!B7</f>
        <v/>
      </c>
    </row>
    <row r="11" ht="30" customHeight="1">
      <c r="A11" s="12" t="inlineStr">
        <is>
          <t>Đọc biểu đồ theo thứ tự các dòng trong bảng bên trái. Điểm quan trọng: phương án 'xếp hạng toàn rổ' nằm cao hơn VÀ sang trái hơn hệ thống hiện hành, tức tốt hơn ở cả hai chiều — nhưng nó trái với bản chốt FF5, nên đây là thông tin để cân nhắc sửa bản chốt, không phải để lặng lẽ đổi code.</t>
        </is>
      </c>
    </row>
  </sheetData>
  <mergeCells count="1">
    <mergeCell ref="A11:E11"/>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G41"/>
  <sheetViews>
    <sheetView showGridLines="0"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s>
  <sheetData>
    <row r="1">
      <c r="A1" s="1" t="inlineStr">
        <is>
          <t>DỮ LIỆU THÔ — toàn bộ số dùng trong file này</t>
        </is>
      </c>
    </row>
    <row r="4">
      <c r="A4" s="3" t="inlineStr">
        <is>
          <t>A. Kết quả theo pha, ba phạm vi xếp hạng</t>
        </is>
      </c>
    </row>
    <row r="5">
      <c r="A5" s="4" t="inlineStr">
        <is>
          <t>Pha / phạm vi</t>
        </is>
      </c>
      <c r="B5" s="4" t="inlineStr">
        <is>
          <t>CAGR (%)</t>
        </is>
      </c>
      <c r="C5" s="4" t="inlineStr">
        <is>
          <t>Sụt giảm (%)</t>
        </is>
      </c>
      <c r="D5" s="4" t="inlineStr">
        <is>
          <t>Alpha tháng (%)</t>
        </is>
      </c>
      <c r="E5" s="4" t="inlineStr">
        <is>
          <t>Thống kê t</t>
        </is>
      </c>
      <c r="F5" s="4" t="inlineStr">
        <is>
          <t>VN-Index (%)</t>
        </is>
      </c>
      <c r="G5" s="4" t="inlineStr">
        <is>
          <t>Số mã qua lọc (trung vị)</t>
        </is>
      </c>
    </row>
    <row r="6">
      <c r="A6" s="10" t="inlineStr">
        <is>
          <t>Pha 0 (2026-08-24) — A</t>
        </is>
      </c>
      <c r="B6" s="7" t="n">
        <v>10.36</v>
      </c>
      <c r="C6" s="14" t="n">
        <v>-20.88</v>
      </c>
      <c r="D6" s="15" t="n">
        <v>0.205</v>
      </c>
      <c r="E6" s="7" t="n">
        <v>0.39</v>
      </c>
      <c r="F6" s="7" t="n">
        <v>8.32</v>
      </c>
      <c r="G6" s="10" t="n">
        <v>30</v>
      </c>
    </row>
    <row r="7">
      <c r="A7" s="10" t="inlineStr">
        <is>
          <t>Pha 0 (2026-08-24) — B1</t>
        </is>
      </c>
      <c r="B7" s="7" t="n">
        <v>7.649999999999999</v>
      </c>
      <c r="C7" s="14" t="n">
        <v>-36.1</v>
      </c>
      <c r="D7" s="15" t="n">
        <v>0.032</v>
      </c>
      <c r="E7" s="7" t="n">
        <v>0.04</v>
      </c>
      <c r="F7" s="7" t="n">
        <v>8.32</v>
      </c>
      <c r="G7" s="10" t="n">
        <v>30</v>
      </c>
    </row>
    <row r="8">
      <c r="A8" s="10" t="inlineStr">
        <is>
          <t>Pha 0 (2026-08-24) — B2</t>
        </is>
      </c>
      <c r="B8" s="7" t="n">
        <v>7.1</v>
      </c>
      <c r="C8" s="14" t="n">
        <v>-36.1</v>
      </c>
      <c r="D8" s="15" t="n">
        <v>-0.011</v>
      </c>
      <c r="E8" s="7" t="n">
        <v>-0.01</v>
      </c>
      <c r="F8" s="7" t="n">
        <v>8.32</v>
      </c>
      <c r="G8" s="10" t="n">
        <v>30</v>
      </c>
    </row>
    <row r="9">
      <c r="A9" s="10" t="inlineStr">
        <is>
          <t>Pha 0 (2026-08-24) — tat_qt3</t>
        </is>
      </c>
      <c r="B9" s="7" t="n">
        <v>10.09</v>
      </c>
      <c r="C9" s="14" t="n">
        <v>-20.88</v>
      </c>
      <c r="D9" s="15" t="n">
        <v>0.122</v>
      </c>
      <c r="E9" s="7" t="n">
        <v>0.28</v>
      </c>
      <c r="F9" s="7" t="n">
        <v>8.32</v>
      </c>
      <c r="G9" s="10" t="n">
        <v>30</v>
      </c>
    </row>
    <row r="10">
      <c r="A10" s="10" t="inlineStr">
        <is>
          <t>Pha 1 (2026-08-17) — A</t>
        </is>
      </c>
      <c r="B10" s="7" t="n">
        <v>14.07</v>
      </c>
      <c r="C10" s="14" t="n">
        <v>-21.35</v>
      </c>
      <c r="D10" s="15" t="n">
        <v>0.508</v>
      </c>
      <c r="E10" s="7" t="n">
        <v>0.8100000000000001</v>
      </c>
      <c r="F10" s="7" t="n">
        <v>8.09</v>
      </c>
      <c r="G10" s="10" t="n">
        <v>31</v>
      </c>
    </row>
    <row r="11">
      <c r="A11" s="10" t="inlineStr">
        <is>
          <t>Pha 1 (2026-08-17) — B1</t>
        </is>
      </c>
      <c r="B11" s="7" t="n">
        <v>9.370000000000001</v>
      </c>
      <c r="C11" s="14" t="n">
        <v>-32.47</v>
      </c>
      <c r="D11" s="15" t="n">
        <v>0.186</v>
      </c>
      <c r="E11" s="7" t="n">
        <v>0.24</v>
      </c>
      <c r="F11" s="7" t="n">
        <v>8.09</v>
      </c>
      <c r="G11" s="10" t="n">
        <v>31</v>
      </c>
    </row>
    <row r="12">
      <c r="A12" s="10" t="inlineStr">
        <is>
          <t>Pha 1 (2026-08-17) — B2</t>
        </is>
      </c>
      <c r="B12" s="7" t="n">
        <v>9.220000000000001</v>
      </c>
      <c r="C12" s="14" t="n">
        <v>-32.87</v>
      </c>
      <c r="D12" s="15" t="n">
        <v>0.175</v>
      </c>
      <c r="E12" s="7" t="n">
        <v>0.23</v>
      </c>
      <c r="F12" s="7" t="n">
        <v>8.09</v>
      </c>
      <c r="G12" s="10" t="n">
        <v>31</v>
      </c>
    </row>
    <row r="13">
      <c r="A13" s="10" t="inlineStr">
        <is>
          <t>Pha 1 (2026-08-17) — tat_qt3</t>
        </is>
      </c>
      <c r="B13" s="7" t="n">
        <v>6.660000000000001</v>
      </c>
      <c r="C13" s="14" t="n">
        <v>-23.43</v>
      </c>
      <c r="D13" s="15" t="n">
        <v>-0.122</v>
      </c>
      <c r="E13" s="7" t="n">
        <v>-0.24</v>
      </c>
      <c r="F13" s="7" t="n">
        <v>8.09</v>
      </c>
      <c r="G13" s="10" t="n">
        <v>31</v>
      </c>
    </row>
    <row r="14">
      <c r="A14" s="10" t="inlineStr">
        <is>
          <t>Pha 2 (2026-08-10) — A</t>
        </is>
      </c>
      <c r="B14" s="7" t="n">
        <v>9.379999999999999</v>
      </c>
      <c r="C14" s="14" t="n">
        <v>-27.65</v>
      </c>
      <c r="D14" s="15" t="n">
        <v>0.146</v>
      </c>
      <c r="E14" s="7" t="n">
        <v>0.28</v>
      </c>
      <c r="F14" s="7" t="n">
        <v>7.71</v>
      </c>
      <c r="G14" s="10" t="n">
        <v>31</v>
      </c>
    </row>
    <row r="15">
      <c r="A15" s="10" t="inlineStr">
        <is>
          <t>Pha 2 (2026-08-10) — B1</t>
        </is>
      </c>
      <c r="B15" s="7" t="n">
        <v>8.699999999999999</v>
      </c>
      <c r="C15" s="14" t="n">
        <v>-25.35</v>
      </c>
      <c r="D15" s="15" t="n">
        <v>0.116</v>
      </c>
      <c r="E15" s="7" t="n">
        <v>0.2</v>
      </c>
      <c r="F15" s="7" t="n">
        <v>7.71</v>
      </c>
      <c r="G15" s="10" t="n">
        <v>31</v>
      </c>
    </row>
    <row r="16">
      <c r="A16" s="10" t="inlineStr">
        <is>
          <t>Pha 2 (2026-08-10) — B2</t>
        </is>
      </c>
      <c r="B16" s="7" t="n">
        <v>8.08</v>
      </c>
      <c r="C16" s="14" t="n">
        <v>-26.19</v>
      </c>
      <c r="D16" s="15" t="n">
        <v>0.073</v>
      </c>
      <c r="E16" s="7" t="n">
        <v>0.13</v>
      </c>
      <c r="F16" s="7" t="n">
        <v>7.71</v>
      </c>
      <c r="G16" s="10" t="n">
        <v>31</v>
      </c>
    </row>
    <row r="17">
      <c r="A17" s="10" t="inlineStr">
        <is>
          <t>Pha 2 (2026-08-10) — tat_qt3</t>
        </is>
      </c>
      <c r="B17" s="7" t="n">
        <v>6.18</v>
      </c>
      <c r="C17" s="14" t="n">
        <v>-27.65</v>
      </c>
      <c r="D17" s="15" t="n">
        <v>-0.115</v>
      </c>
      <c r="E17" s="7" t="n">
        <v>-0.23</v>
      </c>
      <c r="F17" s="7" t="n">
        <v>7.71</v>
      </c>
      <c r="G17" s="10" t="n">
        <v>31</v>
      </c>
    </row>
    <row r="18">
      <c r="A18" s="10" t="inlineStr">
        <is>
          <t>Pha 3 (2026-08-03) — A</t>
        </is>
      </c>
      <c r="B18" s="7" t="n">
        <v>14.54</v>
      </c>
      <c r="C18" s="14" t="n">
        <v>-23.03</v>
      </c>
      <c r="D18" s="15" t="n">
        <v>0.469</v>
      </c>
      <c r="E18" s="7" t="n">
        <v>0.71</v>
      </c>
      <c r="F18" s="7" t="n">
        <v>9.229999999999999</v>
      </c>
      <c r="G18" s="10" t="n">
        <v>30</v>
      </c>
    </row>
    <row r="19">
      <c r="A19" s="10" t="inlineStr">
        <is>
          <t>Pha 3 (2026-08-03) — B1</t>
        </is>
      </c>
      <c r="B19" s="7" t="n">
        <v>10.49</v>
      </c>
      <c r="C19" s="14" t="n">
        <v>-23.89</v>
      </c>
      <c r="D19" s="15" t="n">
        <v>0.123</v>
      </c>
      <c r="E19" s="7" t="n">
        <v>0.22</v>
      </c>
      <c r="F19" s="7" t="n">
        <v>9.229999999999999</v>
      </c>
      <c r="G19" s="10" t="n">
        <v>30</v>
      </c>
    </row>
    <row r="20">
      <c r="A20" s="10" t="inlineStr">
        <is>
          <t>Pha 3 (2026-08-03) — B2</t>
        </is>
      </c>
      <c r="B20" s="7" t="n">
        <v>10.49</v>
      </c>
      <c r="C20" s="14" t="n">
        <v>-23.89</v>
      </c>
      <c r="D20" s="15" t="n">
        <v>0.123</v>
      </c>
      <c r="E20" s="7" t="n">
        <v>0.22</v>
      </c>
      <c r="F20" s="7" t="n">
        <v>9.229999999999999</v>
      </c>
      <c r="G20" s="10" t="n">
        <v>30</v>
      </c>
    </row>
    <row r="21">
      <c r="A21" s="10" t="inlineStr">
        <is>
          <t>Pha 3 (2026-08-03) — tat_qt3</t>
        </is>
      </c>
      <c r="B21" s="7" t="n">
        <v>13.55</v>
      </c>
      <c r="C21" s="14" t="n">
        <v>-22.61</v>
      </c>
      <c r="D21" s="15" t="n">
        <v>0.395</v>
      </c>
      <c r="E21" s="7" t="n">
        <v>0.59</v>
      </c>
      <c r="F21" s="7" t="n">
        <v>9.229999999999999</v>
      </c>
      <c r="G21" s="10" t="n">
        <v>30</v>
      </c>
    </row>
    <row r="24">
      <c r="A24" s="3" t="inlineStr">
        <is>
          <t>B. Độ nhạy số ô (CAGR %, phạm vi rổ đã lọc)</t>
        </is>
      </c>
    </row>
    <row r="25">
      <c r="A25" s="4" t="inlineStr">
        <is>
          <t>Số ô</t>
        </is>
      </c>
      <c r="B25" s="4" t="inlineStr">
        <is>
          <t>Pha 0</t>
        </is>
      </c>
      <c r="C25" s="4" t="inlineStr">
        <is>
          <t>Pha 1</t>
        </is>
      </c>
      <c r="D25" s="4" t="inlineStr">
        <is>
          <t>Pha 2</t>
        </is>
      </c>
      <c r="E25" s="4" t="inlineStr">
        <is>
          <t>Pha 3</t>
        </is>
      </c>
      <c r="F25" s="4" t="inlineStr">
        <is>
          <t>Trung bình</t>
        </is>
      </c>
    </row>
    <row r="26">
      <c r="A26" s="5" t="n">
        <v>5</v>
      </c>
      <c r="B26" s="7" t="n">
        <v>8.84</v>
      </c>
      <c r="C26" s="7" t="n">
        <v>10.11</v>
      </c>
      <c r="D26" s="7" t="n">
        <v>9.199999999999999</v>
      </c>
      <c r="E26" s="7" t="n">
        <v>14.48</v>
      </c>
      <c r="F26" s="7">
        <f>AVERAGE(B26:E26)</f>
        <v/>
      </c>
    </row>
    <row r="27">
      <c r="A27" s="5" t="n">
        <v>6</v>
      </c>
      <c r="B27" s="7" t="n">
        <v>7.86</v>
      </c>
      <c r="C27" s="7" t="n">
        <v>13.29</v>
      </c>
      <c r="D27" s="7" t="n">
        <v>8.290000000000001</v>
      </c>
      <c r="E27" s="7" t="n">
        <v>12.54</v>
      </c>
      <c r="F27" s="7">
        <f>AVERAGE(B27:E27)</f>
        <v/>
      </c>
    </row>
    <row r="28">
      <c r="A28" s="5" t="n">
        <v>8</v>
      </c>
      <c r="B28" s="7" t="n">
        <v>6.65</v>
      </c>
      <c r="C28" s="7" t="n">
        <v>11.08</v>
      </c>
      <c r="D28" s="7" t="n">
        <v>5.64</v>
      </c>
      <c r="E28" s="7" t="n">
        <v>12.96</v>
      </c>
      <c r="F28" s="7">
        <f>AVERAGE(B28:E28)</f>
        <v/>
      </c>
    </row>
    <row r="29">
      <c r="A29" s="5" t="n">
        <v>10</v>
      </c>
      <c r="B29" s="7" t="n">
        <v>7.649999999999999</v>
      </c>
      <c r="C29" s="7" t="n">
        <v>9.370000000000001</v>
      </c>
      <c r="D29" s="7" t="n">
        <v>8.699999999999999</v>
      </c>
      <c r="E29" s="7" t="n">
        <v>10.49</v>
      </c>
      <c r="F29" s="7">
        <f>AVERAGE(B29:E29)</f>
        <v/>
      </c>
    </row>
    <row r="30">
      <c r="A30" s="5" t="n">
        <v>12</v>
      </c>
      <c r="B30" s="7" t="n">
        <v>6.3</v>
      </c>
      <c r="C30" s="7" t="n">
        <v>7.1</v>
      </c>
      <c r="D30" s="7" t="n">
        <v>10.48</v>
      </c>
      <c r="E30" s="7" t="n">
        <v>8.279999999999999</v>
      </c>
      <c r="F30" s="7">
        <f>AVERAGE(B30:E30)</f>
        <v/>
      </c>
    </row>
    <row r="31">
      <c r="A31" s="5" t="n">
        <v>15</v>
      </c>
      <c r="B31" s="7" t="n">
        <v>6.4</v>
      </c>
      <c r="C31" s="7" t="n">
        <v>8.67</v>
      </c>
      <c r="D31" s="7" t="n">
        <v>8.92</v>
      </c>
      <c r="E31" s="7" t="n">
        <v>8.219999999999999</v>
      </c>
      <c r="F31" s="7">
        <f>AVERAGE(B31:E31)</f>
        <v/>
      </c>
    </row>
    <row r="33" ht="30" customHeight="1">
      <c r="A33" s="12" t="inlineStr">
        <is>
          <t>Bốn đường không cùng hình dạng — đó là toàn bộ vấn đề. Nếu số ô thật sự quan trọng thì bốn đường phải cùng dốc về một phía. Chúng không.</t>
        </is>
      </c>
    </row>
    <row r="35">
      <c r="A35" s="3" t="inlineStr">
        <is>
          <t>C. Nguồn</t>
        </is>
      </c>
    </row>
    <row r="36">
      <c r="A36" s="3" t="inlineStr">
        <is>
          <t>Kết quả kiểm định</t>
        </is>
      </c>
      <c r="B36" t="inlineStr">
        <is>
          <t>data/backtest_pha_luoi_20260826.json (lt_backtest_scope.js)</t>
        </is>
      </c>
    </row>
    <row r="37">
      <c r="A37" s="3" t="inlineStr">
        <is>
          <t>Mô hình FF5</t>
        </is>
      </c>
      <c r="B37" t="inlineStr">
        <is>
          <t>Bảng CS.1, Triet_ly_dau_tu_FF5.docx, ngày 24/08/2026</t>
        </is>
      </c>
    </row>
    <row r="38">
      <c r="A38" s="3" t="inlineStr">
        <is>
          <t>Rf</t>
        </is>
      </c>
      <c r="B38" t="inlineStr">
        <is>
          <t>Lợi suất TPCP 10 năm ngày 21/08/2026</t>
        </is>
      </c>
    </row>
    <row r="39">
      <c r="A39" s="3" t="inlineStr">
        <is>
          <t>Phần bù thị trường</t>
        </is>
      </c>
      <c r="B39" t="inlineStr">
        <is>
          <t>Damodaran, thị trường Việt Nam</t>
        </is>
      </c>
    </row>
    <row r="40">
      <c r="A40" s="3" t="inlineStr">
        <is>
          <t>Bốn λ phi thị trường</t>
        </is>
      </c>
      <c r="B40" t="inlineStr">
        <is>
          <t>Trung bình ba nguồn thực nghiệm VN, đã thu hẹp một nửa về 0</t>
        </is>
      </c>
    </row>
    <row r="41">
      <c r="A41" s="3" t="inlineStr">
        <is>
          <t>Giai đoạn kiểm định</t>
        </is>
      </c>
      <c r="B41" t="inlineStr">
        <is>
          <t>04/2022 – 08/2026, 52 tháng, 112 mã HOSE, phí 0,4%/vòng quay</t>
        </is>
      </c>
    </row>
  </sheetData>
  <mergeCells count="7">
    <mergeCell ref="B38:G38"/>
    <mergeCell ref="A33:F33"/>
    <mergeCell ref="B36:G36"/>
    <mergeCell ref="B37:G37"/>
    <mergeCell ref="B41:G41"/>
    <mergeCell ref="B40:G40"/>
    <mergeCell ref="B39:G39"/>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2026-08-26T06:07:03Z</dcterms:created>
  <dcterms:modified xmlns:dcterms="http://purl.org/dc/terms/" xmlns:xsi="http://www.w3.org/2001/XMLSchema-instance" xsi:type="dcterms:W3CDTF">2026-08-26T06:07:03Z</dcterms:modified>
</cp:coreProperties>
</file>