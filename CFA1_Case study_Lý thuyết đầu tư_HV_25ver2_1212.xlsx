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học tập\CFA LV1\PM\"/>
    </mc:Choice>
  </mc:AlternateContent>
  <xr:revisionPtr revIDLastSave="0" documentId="13_ncr:1_{0DB638F8-6E51-4C9F-B535-C9F1A70AE8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2" r:id="rId1"/>
    <sheet name="Shortcut" sheetId="4" r:id="rId2"/>
    <sheet name="Final" sheetId="1" r:id="rId3"/>
  </sheets>
  <definedNames>
    <definedName name="solver_adj" localSheetId="2" hidden="1">Final!$O$4:$O$8</definedName>
    <definedName name="solver_adj" localSheetId="1" hidden="1">Shortcut!$O$4:$O$8</definedName>
    <definedName name="solver_adj" localSheetId="0" hidden="1">Template!$O$4:$O$8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2</definedName>
    <definedName name="solver_drv" localSheetId="1" hidden="1">2</definedName>
    <definedName name="solver_drv" localSheetId="0" hidden="1">2</definedName>
    <definedName name="solver_eng" localSheetId="2" hidden="1">1</definedName>
    <definedName name="solver_eng" localSheetId="1" hidden="1">1</definedName>
    <definedName name="solver_eng" localSheetId="0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Final!$AA$5</definedName>
    <definedName name="solver_lhs1" localSheetId="1" hidden="1">Shortcut!$AA$5</definedName>
    <definedName name="solver_lhs1" localSheetId="0" hidden="1">Template!$AA$5</definedName>
    <definedName name="solver_lhs2" localSheetId="2" hidden="1">Final!$O$9</definedName>
    <definedName name="solver_lhs2" localSheetId="1" hidden="1">Shortcut!$O$9</definedName>
    <definedName name="solver_lhs2" localSheetId="0" hidden="1">Template!$O$9</definedName>
    <definedName name="solver_lhs3" localSheetId="2" hidden="1">Final!#REF!</definedName>
    <definedName name="solver_lhs3" localSheetId="1" hidden="1">Shortcut!#REF!</definedName>
    <definedName name="solver_lhs3" localSheetId="0" hidden="1">Template!#REF!</definedName>
    <definedName name="solver_lhs4" localSheetId="2" hidden="1">Final!#REF!</definedName>
    <definedName name="solver_lhs4" localSheetId="1" hidden="1">Shortcut!#REF!</definedName>
    <definedName name="solver_lhs4" localSheetId="0" hidden="1">Template!#REF!</definedName>
    <definedName name="solver_lhs5" localSheetId="2" hidden="1">Final!#REF!</definedName>
    <definedName name="solver_lhs5" localSheetId="1" hidden="1">Shortcut!#REF!</definedName>
    <definedName name="solver_lhs5" localSheetId="0" hidden="1">Template!#REF!</definedName>
    <definedName name="solver_lhs6" localSheetId="2" hidden="1">Final!#REF!</definedName>
    <definedName name="solver_lhs6" localSheetId="1" hidden="1">Shortcut!#REF!</definedName>
    <definedName name="solver_lhs6" localSheetId="0" hidden="1">Template!#REF!</definedName>
    <definedName name="solver_lhs7" localSheetId="2" hidden="1">Final!#REF!</definedName>
    <definedName name="solver_lhs7" localSheetId="1" hidden="1">Shortcut!#REF!</definedName>
    <definedName name="solver_lhs7" localSheetId="0" hidden="1">Template!#REF!</definedName>
    <definedName name="solver_lin" localSheetId="2" hidden="1">2</definedName>
    <definedName name="solver_lin" localSheetId="1" hidden="1">2</definedName>
    <definedName name="solver_lin" localSheetId="0" hidden="1">2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2</definedName>
    <definedName name="solver_neg" localSheetId="1" hidden="1">2</definedName>
    <definedName name="solver_neg" localSheetId="0" hidden="1">2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2</definedName>
    <definedName name="solver_num" localSheetId="1" hidden="1">2</definedName>
    <definedName name="solver_num" localSheetId="0" hidden="1">2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opt" localSheetId="2" hidden="1">Final!$AA$4</definedName>
    <definedName name="solver_opt" localSheetId="1" hidden="1">Shortcut!$AA$4</definedName>
    <definedName name="solver_opt" localSheetId="0" hidden="1">Template!$AA$4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2</definedName>
    <definedName name="solver_rbv" localSheetId="1" hidden="1">2</definedName>
    <definedName name="solver_rbv" localSheetId="0" hidden="1">2</definedName>
    <definedName name="solver_rel1" localSheetId="2" hidden="1">2</definedName>
    <definedName name="solver_rel1" localSheetId="1" hidden="1">2</definedName>
    <definedName name="solver_rel1" localSheetId="0" hidden="1">2</definedName>
    <definedName name="solver_rel2" localSheetId="2" hidden="1">2</definedName>
    <definedName name="solver_rel2" localSheetId="1" hidden="1">2</definedName>
    <definedName name="solver_rel2" localSheetId="0" hidden="1">2</definedName>
    <definedName name="solver_rel3" localSheetId="2" hidden="1">2</definedName>
    <definedName name="solver_rel3" localSheetId="1" hidden="1">2</definedName>
    <definedName name="solver_rel3" localSheetId="0" hidden="1">2</definedName>
    <definedName name="solver_rel4" localSheetId="2" hidden="1">2</definedName>
    <definedName name="solver_rel4" localSheetId="1" hidden="1">2</definedName>
    <definedName name="solver_rel4" localSheetId="0" hidden="1">2</definedName>
    <definedName name="solver_rel5" localSheetId="2" hidden="1">2</definedName>
    <definedName name="solver_rel5" localSheetId="1" hidden="1">2</definedName>
    <definedName name="solver_rel5" localSheetId="0" hidden="1">2</definedName>
    <definedName name="solver_rel6" localSheetId="2" hidden="1">2</definedName>
    <definedName name="solver_rel6" localSheetId="1" hidden="1">2</definedName>
    <definedName name="solver_rel6" localSheetId="0" hidden="1">2</definedName>
    <definedName name="solver_rel7" localSheetId="2" hidden="1">2</definedName>
    <definedName name="solver_rel7" localSheetId="1" hidden="1">2</definedName>
    <definedName name="solver_rel7" localSheetId="0" hidden="1">2</definedName>
    <definedName name="solver_rhs1" localSheetId="2" hidden="1">Final!$Y$20</definedName>
    <definedName name="solver_rhs1" localSheetId="1" hidden="1">Shortcut!$Y$20</definedName>
    <definedName name="solver_rhs1" localSheetId="0" hidden="1">Template!$Y$20</definedName>
    <definedName name="solver_rhs2" localSheetId="2" hidden="1">1</definedName>
    <definedName name="solver_rhs2" localSheetId="1" hidden="1">1</definedName>
    <definedName name="solver_rhs2" localSheetId="0" hidden="1">1</definedName>
    <definedName name="solver_rhs3" localSheetId="2" hidden="1">0.05%</definedName>
    <definedName name="solver_rhs3" localSheetId="1" hidden="1">0.05%</definedName>
    <definedName name="solver_rhs3" localSheetId="0" hidden="1">0.05%</definedName>
    <definedName name="solver_rhs4" localSheetId="2" hidden="1">0.05%</definedName>
    <definedName name="solver_rhs4" localSheetId="1" hidden="1">0.05%</definedName>
    <definedName name="solver_rhs4" localSheetId="0" hidden="1">0.05%</definedName>
    <definedName name="solver_rhs5" localSheetId="2" hidden="1">0.05%</definedName>
    <definedName name="solver_rhs5" localSheetId="1" hidden="1">0.05%</definedName>
    <definedName name="solver_rhs5" localSheetId="0" hidden="1">0.05%</definedName>
    <definedName name="solver_rhs6" localSheetId="2" hidden="1">0.05%</definedName>
    <definedName name="solver_rhs6" localSheetId="1" hidden="1">0.05%</definedName>
    <definedName name="solver_rhs6" localSheetId="0" hidden="1">0.05%</definedName>
    <definedName name="solver_rhs7" localSheetId="2" hidden="1">0.05%</definedName>
    <definedName name="solver_rhs7" localSheetId="1" hidden="1">0.05%</definedName>
    <definedName name="solver_rhs7" localSheetId="0" hidden="1">0.05%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2</definedName>
    <definedName name="solver_scl" localSheetId="1" hidden="1">2</definedName>
    <definedName name="solver_scl" localSheetId="0" hidden="1">2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2</definedName>
    <definedName name="solver_typ" localSheetId="1" hidden="1">2</definedName>
    <definedName name="solver_typ" localSheetId="0" hidden="1">2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3</definedName>
    <definedName name="solver_ver" localSheetId="1" hidden="1">3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AA6" i="2" l="1"/>
  <c r="AA5" i="2"/>
  <c r="AH4" i="2"/>
  <c r="AF4" i="2"/>
  <c r="AE4" i="2"/>
  <c r="AD4" i="2"/>
  <c r="AH8" i="2"/>
  <c r="AG8" i="2"/>
  <c r="AF8" i="2"/>
  <c r="AE8" i="2"/>
  <c r="AD8" i="2"/>
  <c r="AH7" i="2"/>
  <c r="AG7" i="2"/>
  <c r="AF7" i="2"/>
  <c r="AE7" i="2"/>
  <c r="AD7" i="2"/>
  <c r="AH6" i="2"/>
  <c r="AG6" i="2"/>
  <c r="AF6" i="2"/>
  <c r="AE6" i="2"/>
  <c r="AD6" i="2"/>
  <c r="AH5" i="2"/>
  <c r="AG5" i="2"/>
  <c r="AF5" i="2"/>
  <c r="AE5" i="2"/>
  <c r="AD5" i="2"/>
  <c r="AG4" i="2"/>
  <c r="X9" i="2"/>
  <c r="W9" i="2"/>
  <c r="V9" i="2"/>
  <c r="U9" i="2"/>
  <c r="T9" i="2"/>
  <c r="X8" i="2"/>
  <c r="W8" i="2"/>
  <c r="V8" i="2"/>
  <c r="U8" i="2"/>
  <c r="T8" i="2"/>
  <c r="X7" i="2"/>
  <c r="W7" i="2"/>
  <c r="V7" i="2"/>
  <c r="U7" i="2"/>
  <c r="T7" i="2"/>
  <c r="X6" i="2"/>
  <c r="W6" i="2"/>
  <c r="V6" i="2"/>
  <c r="U6" i="2"/>
  <c r="T6" i="2"/>
  <c r="X5" i="2"/>
  <c r="W5" i="2"/>
  <c r="V5" i="2"/>
  <c r="U5" i="2"/>
  <c r="T5" i="2"/>
  <c r="R5" i="2"/>
  <c r="R6" i="2"/>
  <c r="R7" i="2"/>
  <c r="R8" i="2"/>
  <c r="R4" i="2"/>
  <c r="Q8" i="2"/>
  <c r="Q7" i="2"/>
  <c r="Q6" i="2"/>
  <c r="Q5" i="2"/>
  <c r="Q4" i="2"/>
  <c r="P8" i="2"/>
  <c r="P7" i="2"/>
  <c r="P6" i="2"/>
  <c r="P5" i="2"/>
  <c r="N8" i="2"/>
  <c r="N7" i="2"/>
  <c r="N6" i="2"/>
  <c r="N5" i="2"/>
  <c r="N4" i="2"/>
  <c r="P4" i="2"/>
  <c r="V28" i="2"/>
  <c r="AA3" i="2" l="1"/>
  <c r="AA4" i="2" s="1"/>
  <c r="AD9" i="2"/>
  <c r="K455" i="4"/>
  <c r="J455" i="4"/>
  <c r="I455" i="4"/>
  <c r="H455" i="4"/>
  <c r="G455" i="4"/>
  <c r="K454" i="4"/>
  <c r="J454" i="4"/>
  <c r="I454" i="4"/>
  <c r="H454" i="4"/>
  <c r="G454" i="4"/>
  <c r="K453" i="4"/>
  <c r="J453" i="4"/>
  <c r="I453" i="4"/>
  <c r="H453" i="4"/>
  <c r="G453" i="4"/>
  <c r="K452" i="4"/>
  <c r="J452" i="4"/>
  <c r="I452" i="4"/>
  <c r="H452" i="4"/>
  <c r="G452" i="4"/>
  <c r="K451" i="4"/>
  <c r="J451" i="4"/>
  <c r="I451" i="4"/>
  <c r="H451" i="4"/>
  <c r="G451" i="4"/>
  <c r="K450" i="4"/>
  <c r="J450" i="4"/>
  <c r="I450" i="4"/>
  <c r="H450" i="4"/>
  <c r="G450" i="4"/>
  <c r="K449" i="4"/>
  <c r="J449" i="4"/>
  <c r="I449" i="4"/>
  <c r="H449" i="4"/>
  <c r="G449" i="4"/>
  <c r="K448" i="4"/>
  <c r="J448" i="4"/>
  <c r="I448" i="4"/>
  <c r="H448" i="4"/>
  <c r="G448" i="4"/>
  <c r="K447" i="4"/>
  <c r="J447" i="4"/>
  <c r="I447" i="4"/>
  <c r="H447" i="4"/>
  <c r="G447" i="4"/>
  <c r="K446" i="4"/>
  <c r="J446" i="4"/>
  <c r="I446" i="4"/>
  <c r="H446" i="4"/>
  <c r="G446" i="4"/>
  <c r="K445" i="4"/>
  <c r="J445" i="4"/>
  <c r="I445" i="4"/>
  <c r="H445" i="4"/>
  <c r="G445" i="4"/>
  <c r="K444" i="4"/>
  <c r="J444" i="4"/>
  <c r="I444" i="4"/>
  <c r="H444" i="4"/>
  <c r="G444" i="4"/>
  <c r="K443" i="4"/>
  <c r="J443" i="4"/>
  <c r="I443" i="4"/>
  <c r="H443" i="4"/>
  <c r="G443" i="4"/>
  <c r="K442" i="4"/>
  <c r="J442" i="4"/>
  <c r="I442" i="4"/>
  <c r="H442" i="4"/>
  <c r="G442" i="4"/>
  <c r="K441" i="4"/>
  <c r="J441" i="4"/>
  <c r="I441" i="4"/>
  <c r="H441" i="4"/>
  <c r="G441" i="4"/>
  <c r="K440" i="4"/>
  <c r="J440" i="4"/>
  <c r="I440" i="4"/>
  <c r="H440" i="4"/>
  <c r="G440" i="4"/>
  <c r="K439" i="4"/>
  <c r="J439" i="4"/>
  <c r="I439" i="4"/>
  <c r="H439" i="4"/>
  <c r="G439" i="4"/>
  <c r="K438" i="4"/>
  <c r="J438" i="4"/>
  <c r="I438" i="4"/>
  <c r="H438" i="4"/>
  <c r="G438" i="4"/>
  <c r="K437" i="4"/>
  <c r="J437" i="4"/>
  <c r="I437" i="4"/>
  <c r="H437" i="4"/>
  <c r="G437" i="4"/>
  <c r="K436" i="4"/>
  <c r="J436" i="4"/>
  <c r="I436" i="4"/>
  <c r="H436" i="4"/>
  <c r="G436" i="4"/>
  <c r="K435" i="4"/>
  <c r="J435" i="4"/>
  <c r="I435" i="4"/>
  <c r="H435" i="4"/>
  <c r="G435" i="4"/>
  <c r="K434" i="4"/>
  <c r="J434" i="4"/>
  <c r="I434" i="4"/>
  <c r="H434" i="4"/>
  <c r="G434" i="4"/>
  <c r="K433" i="4"/>
  <c r="J433" i="4"/>
  <c r="I433" i="4"/>
  <c r="H433" i="4"/>
  <c r="G433" i="4"/>
  <c r="K432" i="4"/>
  <c r="J432" i="4"/>
  <c r="I432" i="4"/>
  <c r="H432" i="4"/>
  <c r="G432" i="4"/>
  <c r="K431" i="4"/>
  <c r="J431" i="4"/>
  <c r="I431" i="4"/>
  <c r="H431" i="4"/>
  <c r="G431" i="4"/>
  <c r="K430" i="4"/>
  <c r="J430" i="4"/>
  <c r="I430" i="4"/>
  <c r="H430" i="4"/>
  <c r="G430" i="4"/>
  <c r="K429" i="4"/>
  <c r="J429" i="4"/>
  <c r="I429" i="4"/>
  <c r="H429" i="4"/>
  <c r="G429" i="4"/>
  <c r="K428" i="4"/>
  <c r="J428" i="4"/>
  <c r="I428" i="4"/>
  <c r="H428" i="4"/>
  <c r="G428" i="4"/>
  <c r="K427" i="4"/>
  <c r="J427" i="4"/>
  <c r="I427" i="4"/>
  <c r="H427" i="4"/>
  <c r="G427" i="4"/>
  <c r="K426" i="4"/>
  <c r="J426" i="4"/>
  <c r="I426" i="4"/>
  <c r="H426" i="4"/>
  <c r="G426" i="4"/>
  <c r="K425" i="4"/>
  <c r="J425" i="4"/>
  <c r="I425" i="4"/>
  <c r="H425" i="4"/>
  <c r="G425" i="4"/>
  <c r="K424" i="4"/>
  <c r="J424" i="4"/>
  <c r="I424" i="4"/>
  <c r="H424" i="4"/>
  <c r="G424" i="4"/>
  <c r="K423" i="4"/>
  <c r="J423" i="4"/>
  <c r="I423" i="4"/>
  <c r="H423" i="4"/>
  <c r="G423" i="4"/>
  <c r="K422" i="4"/>
  <c r="J422" i="4"/>
  <c r="I422" i="4"/>
  <c r="H422" i="4"/>
  <c r="G422" i="4"/>
  <c r="K421" i="4"/>
  <c r="J421" i="4"/>
  <c r="I421" i="4"/>
  <c r="H421" i="4"/>
  <c r="G421" i="4"/>
  <c r="K420" i="4"/>
  <c r="J420" i="4"/>
  <c r="I420" i="4"/>
  <c r="H420" i="4"/>
  <c r="G420" i="4"/>
  <c r="K419" i="4"/>
  <c r="J419" i="4"/>
  <c r="I419" i="4"/>
  <c r="H419" i="4"/>
  <c r="G419" i="4"/>
  <c r="K418" i="4"/>
  <c r="J418" i="4"/>
  <c r="I418" i="4"/>
  <c r="H418" i="4"/>
  <c r="G418" i="4"/>
  <c r="K417" i="4"/>
  <c r="J417" i="4"/>
  <c r="I417" i="4"/>
  <c r="H417" i="4"/>
  <c r="G417" i="4"/>
  <c r="K416" i="4"/>
  <c r="J416" i="4"/>
  <c r="I416" i="4"/>
  <c r="H416" i="4"/>
  <c r="G416" i="4"/>
  <c r="K415" i="4"/>
  <c r="J415" i="4"/>
  <c r="I415" i="4"/>
  <c r="H415" i="4"/>
  <c r="G415" i="4"/>
  <c r="K414" i="4"/>
  <c r="J414" i="4"/>
  <c r="I414" i="4"/>
  <c r="H414" i="4"/>
  <c r="G414" i="4"/>
  <c r="K413" i="4"/>
  <c r="J413" i="4"/>
  <c r="I413" i="4"/>
  <c r="H413" i="4"/>
  <c r="G413" i="4"/>
  <c r="K412" i="4"/>
  <c r="J412" i="4"/>
  <c r="I412" i="4"/>
  <c r="H412" i="4"/>
  <c r="G412" i="4"/>
  <c r="K411" i="4"/>
  <c r="J411" i="4"/>
  <c r="I411" i="4"/>
  <c r="H411" i="4"/>
  <c r="G411" i="4"/>
  <c r="K410" i="4"/>
  <c r="J410" i="4"/>
  <c r="I410" i="4"/>
  <c r="H410" i="4"/>
  <c r="G410" i="4"/>
  <c r="K409" i="4"/>
  <c r="J409" i="4"/>
  <c r="I409" i="4"/>
  <c r="H409" i="4"/>
  <c r="G409" i="4"/>
  <c r="K408" i="4"/>
  <c r="J408" i="4"/>
  <c r="I408" i="4"/>
  <c r="H408" i="4"/>
  <c r="G408" i="4"/>
  <c r="K407" i="4"/>
  <c r="J407" i="4"/>
  <c r="I407" i="4"/>
  <c r="H407" i="4"/>
  <c r="G407" i="4"/>
  <c r="K406" i="4"/>
  <c r="J406" i="4"/>
  <c r="I406" i="4"/>
  <c r="H406" i="4"/>
  <c r="G406" i="4"/>
  <c r="K405" i="4"/>
  <c r="J405" i="4"/>
  <c r="I405" i="4"/>
  <c r="H405" i="4"/>
  <c r="G405" i="4"/>
  <c r="K404" i="4"/>
  <c r="J404" i="4"/>
  <c r="I404" i="4"/>
  <c r="H404" i="4"/>
  <c r="G404" i="4"/>
  <c r="K403" i="4"/>
  <c r="J403" i="4"/>
  <c r="I403" i="4"/>
  <c r="H403" i="4"/>
  <c r="G403" i="4"/>
  <c r="K402" i="4"/>
  <c r="J402" i="4"/>
  <c r="I402" i="4"/>
  <c r="H402" i="4"/>
  <c r="G402" i="4"/>
  <c r="K401" i="4"/>
  <c r="J401" i="4"/>
  <c r="I401" i="4"/>
  <c r="H401" i="4"/>
  <c r="G401" i="4"/>
  <c r="K400" i="4"/>
  <c r="J400" i="4"/>
  <c r="I400" i="4"/>
  <c r="H400" i="4"/>
  <c r="G400" i="4"/>
  <c r="K399" i="4"/>
  <c r="J399" i="4"/>
  <c r="I399" i="4"/>
  <c r="H399" i="4"/>
  <c r="G399" i="4"/>
  <c r="K398" i="4"/>
  <c r="J398" i="4"/>
  <c r="I398" i="4"/>
  <c r="H398" i="4"/>
  <c r="G398" i="4"/>
  <c r="K397" i="4"/>
  <c r="J397" i="4"/>
  <c r="I397" i="4"/>
  <c r="H397" i="4"/>
  <c r="G397" i="4"/>
  <c r="K396" i="4"/>
  <c r="J396" i="4"/>
  <c r="I396" i="4"/>
  <c r="H396" i="4"/>
  <c r="G396" i="4"/>
  <c r="K395" i="4"/>
  <c r="J395" i="4"/>
  <c r="I395" i="4"/>
  <c r="H395" i="4"/>
  <c r="G395" i="4"/>
  <c r="K394" i="4"/>
  <c r="J394" i="4"/>
  <c r="I394" i="4"/>
  <c r="H394" i="4"/>
  <c r="G394" i="4"/>
  <c r="K393" i="4"/>
  <c r="J393" i="4"/>
  <c r="I393" i="4"/>
  <c r="H393" i="4"/>
  <c r="G393" i="4"/>
  <c r="K392" i="4"/>
  <c r="J392" i="4"/>
  <c r="I392" i="4"/>
  <c r="H392" i="4"/>
  <c r="G392" i="4"/>
  <c r="K391" i="4"/>
  <c r="J391" i="4"/>
  <c r="I391" i="4"/>
  <c r="H391" i="4"/>
  <c r="G391" i="4"/>
  <c r="K390" i="4"/>
  <c r="J390" i="4"/>
  <c r="I390" i="4"/>
  <c r="H390" i="4"/>
  <c r="G390" i="4"/>
  <c r="K389" i="4"/>
  <c r="J389" i="4"/>
  <c r="I389" i="4"/>
  <c r="H389" i="4"/>
  <c r="G389" i="4"/>
  <c r="K388" i="4"/>
  <c r="J388" i="4"/>
  <c r="I388" i="4"/>
  <c r="H388" i="4"/>
  <c r="G388" i="4"/>
  <c r="K387" i="4"/>
  <c r="J387" i="4"/>
  <c r="I387" i="4"/>
  <c r="H387" i="4"/>
  <c r="G387" i="4"/>
  <c r="K386" i="4"/>
  <c r="J386" i="4"/>
  <c r="I386" i="4"/>
  <c r="H386" i="4"/>
  <c r="G386" i="4"/>
  <c r="K385" i="4"/>
  <c r="J385" i="4"/>
  <c r="I385" i="4"/>
  <c r="H385" i="4"/>
  <c r="G385" i="4"/>
  <c r="K384" i="4"/>
  <c r="J384" i="4"/>
  <c r="I384" i="4"/>
  <c r="H384" i="4"/>
  <c r="G384" i="4"/>
  <c r="K383" i="4"/>
  <c r="J383" i="4"/>
  <c r="I383" i="4"/>
  <c r="H383" i="4"/>
  <c r="G383" i="4"/>
  <c r="K382" i="4"/>
  <c r="J382" i="4"/>
  <c r="I382" i="4"/>
  <c r="H382" i="4"/>
  <c r="G382" i="4"/>
  <c r="K381" i="4"/>
  <c r="J381" i="4"/>
  <c r="I381" i="4"/>
  <c r="H381" i="4"/>
  <c r="G381" i="4"/>
  <c r="K380" i="4"/>
  <c r="J380" i="4"/>
  <c r="I380" i="4"/>
  <c r="H380" i="4"/>
  <c r="G380" i="4"/>
  <c r="K379" i="4"/>
  <c r="J379" i="4"/>
  <c r="I379" i="4"/>
  <c r="H379" i="4"/>
  <c r="G379" i="4"/>
  <c r="K378" i="4"/>
  <c r="J378" i="4"/>
  <c r="I378" i="4"/>
  <c r="H378" i="4"/>
  <c r="G378" i="4"/>
  <c r="K377" i="4"/>
  <c r="J377" i="4"/>
  <c r="I377" i="4"/>
  <c r="H377" i="4"/>
  <c r="G377" i="4"/>
  <c r="K376" i="4"/>
  <c r="J376" i="4"/>
  <c r="I376" i="4"/>
  <c r="H376" i="4"/>
  <c r="G376" i="4"/>
  <c r="K375" i="4"/>
  <c r="J375" i="4"/>
  <c r="I375" i="4"/>
  <c r="H375" i="4"/>
  <c r="G375" i="4"/>
  <c r="K374" i="4"/>
  <c r="J374" i="4"/>
  <c r="I374" i="4"/>
  <c r="H374" i="4"/>
  <c r="G374" i="4"/>
  <c r="K373" i="4"/>
  <c r="J373" i="4"/>
  <c r="I373" i="4"/>
  <c r="H373" i="4"/>
  <c r="G373" i="4"/>
  <c r="K372" i="4"/>
  <c r="J372" i="4"/>
  <c r="I372" i="4"/>
  <c r="H372" i="4"/>
  <c r="G372" i="4"/>
  <c r="K371" i="4"/>
  <c r="J371" i="4"/>
  <c r="I371" i="4"/>
  <c r="H371" i="4"/>
  <c r="G371" i="4"/>
  <c r="K370" i="4"/>
  <c r="J370" i="4"/>
  <c r="I370" i="4"/>
  <c r="H370" i="4"/>
  <c r="G370" i="4"/>
  <c r="K369" i="4"/>
  <c r="J369" i="4"/>
  <c r="I369" i="4"/>
  <c r="H369" i="4"/>
  <c r="G369" i="4"/>
  <c r="K368" i="4"/>
  <c r="J368" i="4"/>
  <c r="I368" i="4"/>
  <c r="H368" i="4"/>
  <c r="G368" i="4"/>
  <c r="K367" i="4"/>
  <c r="J367" i="4"/>
  <c r="I367" i="4"/>
  <c r="H367" i="4"/>
  <c r="G367" i="4"/>
  <c r="K366" i="4"/>
  <c r="J366" i="4"/>
  <c r="I366" i="4"/>
  <c r="H366" i="4"/>
  <c r="G366" i="4"/>
  <c r="K365" i="4"/>
  <c r="J365" i="4"/>
  <c r="I365" i="4"/>
  <c r="H365" i="4"/>
  <c r="G365" i="4"/>
  <c r="K364" i="4"/>
  <c r="J364" i="4"/>
  <c r="I364" i="4"/>
  <c r="H364" i="4"/>
  <c r="G364" i="4"/>
  <c r="K363" i="4"/>
  <c r="J363" i="4"/>
  <c r="I363" i="4"/>
  <c r="H363" i="4"/>
  <c r="G363" i="4"/>
  <c r="K362" i="4"/>
  <c r="J362" i="4"/>
  <c r="I362" i="4"/>
  <c r="H362" i="4"/>
  <c r="G362" i="4"/>
  <c r="K361" i="4"/>
  <c r="J361" i="4"/>
  <c r="I361" i="4"/>
  <c r="H361" i="4"/>
  <c r="G361" i="4"/>
  <c r="K360" i="4"/>
  <c r="J360" i="4"/>
  <c r="I360" i="4"/>
  <c r="H360" i="4"/>
  <c r="G360" i="4"/>
  <c r="K359" i="4"/>
  <c r="J359" i="4"/>
  <c r="I359" i="4"/>
  <c r="H359" i="4"/>
  <c r="G359" i="4"/>
  <c r="K358" i="4"/>
  <c r="J358" i="4"/>
  <c r="I358" i="4"/>
  <c r="H358" i="4"/>
  <c r="G358" i="4"/>
  <c r="K357" i="4"/>
  <c r="J357" i="4"/>
  <c r="I357" i="4"/>
  <c r="H357" i="4"/>
  <c r="G357" i="4"/>
  <c r="K356" i="4"/>
  <c r="J356" i="4"/>
  <c r="I356" i="4"/>
  <c r="H356" i="4"/>
  <c r="G356" i="4"/>
  <c r="K355" i="4"/>
  <c r="J355" i="4"/>
  <c r="I355" i="4"/>
  <c r="H355" i="4"/>
  <c r="G355" i="4"/>
  <c r="K354" i="4"/>
  <c r="J354" i="4"/>
  <c r="I354" i="4"/>
  <c r="H354" i="4"/>
  <c r="G354" i="4"/>
  <c r="K353" i="4"/>
  <c r="J353" i="4"/>
  <c r="I353" i="4"/>
  <c r="H353" i="4"/>
  <c r="G353" i="4"/>
  <c r="K352" i="4"/>
  <c r="J352" i="4"/>
  <c r="I352" i="4"/>
  <c r="H352" i="4"/>
  <c r="G352" i="4"/>
  <c r="K351" i="4"/>
  <c r="J351" i="4"/>
  <c r="I351" i="4"/>
  <c r="H351" i="4"/>
  <c r="G351" i="4"/>
  <c r="K350" i="4"/>
  <c r="J350" i="4"/>
  <c r="I350" i="4"/>
  <c r="H350" i="4"/>
  <c r="G350" i="4"/>
  <c r="K349" i="4"/>
  <c r="J349" i="4"/>
  <c r="I349" i="4"/>
  <c r="H349" i="4"/>
  <c r="G349" i="4"/>
  <c r="K348" i="4"/>
  <c r="J348" i="4"/>
  <c r="I348" i="4"/>
  <c r="H348" i="4"/>
  <c r="G348" i="4"/>
  <c r="K347" i="4"/>
  <c r="J347" i="4"/>
  <c r="I347" i="4"/>
  <c r="H347" i="4"/>
  <c r="G347" i="4"/>
  <c r="K346" i="4"/>
  <c r="J346" i="4"/>
  <c r="I346" i="4"/>
  <c r="H346" i="4"/>
  <c r="G346" i="4"/>
  <c r="K345" i="4"/>
  <c r="J345" i="4"/>
  <c r="I345" i="4"/>
  <c r="H345" i="4"/>
  <c r="G345" i="4"/>
  <c r="K344" i="4"/>
  <c r="J344" i="4"/>
  <c r="I344" i="4"/>
  <c r="H344" i="4"/>
  <c r="G344" i="4"/>
  <c r="K343" i="4"/>
  <c r="J343" i="4"/>
  <c r="I343" i="4"/>
  <c r="H343" i="4"/>
  <c r="G343" i="4"/>
  <c r="K342" i="4"/>
  <c r="J342" i="4"/>
  <c r="I342" i="4"/>
  <c r="H342" i="4"/>
  <c r="G342" i="4"/>
  <c r="K341" i="4"/>
  <c r="J341" i="4"/>
  <c r="I341" i="4"/>
  <c r="H341" i="4"/>
  <c r="G341" i="4"/>
  <c r="K340" i="4"/>
  <c r="J340" i="4"/>
  <c r="I340" i="4"/>
  <c r="H340" i="4"/>
  <c r="G340" i="4"/>
  <c r="K339" i="4"/>
  <c r="J339" i="4"/>
  <c r="I339" i="4"/>
  <c r="H339" i="4"/>
  <c r="G339" i="4"/>
  <c r="K338" i="4"/>
  <c r="J338" i="4"/>
  <c r="I338" i="4"/>
  <c r="H338" i="4"/>
  <c r="G338" i="4"/>
  <c r="K337" i="4"/>
  <c r="J337" i="4"/>
  <c r="I337" i="4"/>
  <c r="H337" i="4"/>
  <c r="G337" i="4"/>
  <c r="K336" i="4"/>
  <c r="J336" i="4"/>
  <c r="I336" i="4"/>
  <c r="H336" i="4"/>
  <c r="G336" i="4"/>
  <c r="K335" i="4"/>
  <c r="J335" i="4"/>
  <c r="I335" i="4"/>
  <c r="H335" i="4"/>
  <c r="G335" i="4"/>
  <c r="K334" i="4"/>
  <c r="J334" i="4"/>
  <c r="I334" i="4"/>
  <c r="H334" i="4"/>
  <c r="G334" i="4"/>
  <c r="K333" i="4"/>
  <c r="J333" i="4"/>
  <c r="I333" i="4"/>
  <c r="H333" i="4"/>
  <c r="G333" i="4"/>
  <c r="K332" i="4"/>
  <c r="J332" i="4"/>
  <c r="I332" i="4"/>
  <c r="H332" i="4"/>
  <c r="G332" i="4"/>
  <c r="K331" i="4"/>
  <c r="J331" i="4"/>
  <c r="I331" i="4"/>
  <c r="H331" i="4"/>
  <c r="G331" i="4"/>
  <c r="K330" i="4"/>
  <c r="J330" i="4"/>
  <c r="I330" i="4"/>
  <c r="H330" i="4"/>
  <c r="G330" i="4"/>
  <c r="K329" i="4"/>
  <c r="J329" i="4"/>
  <c r="I329" i="4"/>
  <c r="H329" i="4"/>
  <c r="G329" i="4"/>
  <c r="K328" i="4"/>
  <c r="J328" i="4"/>
  <c r="I328" i="4"/>
  <c r="H328" i="4"/>
  <c r="G328" i="4"/>
  <c r="K327" i="4"/>
  <c r="J327" i="4"/>
  <c r="I327" i="4"/>
  <c r="H327" i="4"/>
  <c r="G327" i="4"/>
  <c r="K326" i="4"/>
  <c r="J326" i="4"/>
  <c r="I326" i="4"/>
  <c r="H326" i="4"/>
  <c r="G326" i="4"/>
  <c r="K325" i="4"/>
  <c r="J325" i="4"/>
  <c r="I325" i="4"/>
  <c r="H325" i="4"/>
  <c r="G325" i="4"/>
  <c r="K324" i="4"/>
  <c r="J324" i="4"/>
  <c r="I324" i="4"/>
  <c r="H324" i="4"/>
  <c r="G324" i="4"/>
  <c r="K323" i="4"/>
  <c r="J323" i="4"/>
  <c r="I323" i="4"/>
  <c r="H323" i="4"/>
  <c r="G323" i="4"/>
  <c r="K322" i="4"/>
  <c r="J322" i="4"/>
  <c r="I322" i="4"/>
  <c r="H322" i="4"/>
  <c r="G322" i="4"/>
  <c r="K321" i="4"/>
  <c r="J321" i="4"/>
  <c r="I321" i="4"/>
  <c r="H321" i="4"/>
  <c r="G321" i="4"/>
  <c r="K320" i="4"/>
  <c r="J320" i="4"/>
  <c r="I320" i="4"/>
  <c r="H320" i="4"/>
  <c r="G320" i="4"/>
  <c r="K319" i="4"/>
  <c r="J319" i="4"/>
  <c r="I319" i="4"/>
  <c r="H319" i="4"/>
  <c r="G319" i="4"/>
  <c r="K318" i="4"/>
  <c r="J318" i="4"/>
  <c r="I318" i="4"/>
  <c r="H318" i="4"/>
  <c r="G318" i="4"/>
  <c r="K317" i="4"/>
  <c r="J317" i="4"/>
  <c r="I317" i="4"/>
  <c r="H317" i="4"/>
  <c r="G317" i="4"/>
  <c r="K316" i="4"/>
  <c r="J316" i="4"/>
  <c r="I316" i="4"/>
  <c r="H316" i="4"/>
  <c r="G316" i="4"/>
  <c r="K315" i="4"/>
  <c r="J315" i="4"/>
  <c r="I315" i="4"/>
  <c r="H315" i="4"/>
  <c r="G315" i="4"/>
  <c r="K314" i="4"/>
  <c r="J314" i="4"/>
  <c r="I314" i="4"/>
  <c r="H314" i="4"/>
  <c r="G314" i="4"/>
  <c r="K313" i="4"/>
  <c r="J313" i="4"/>
  <c r="I313" i="4"/>
  <c r="H313" i="4"/>
  <c r="G313" i="4"/>
  <c r="K312" i="4"/>
  <c r="J312" i="4"/>
  <c r="I312" i="4"/>
  <c r="H312" i="4"/>
  <c r="G312" i="4"/>
  <c r="K311" i="4"/>
  <c r="J311" i="4"/>
  <c r="I311" i="4"/>
  <c r="H311" i="4"/>
  <c r="G311" i="4"/>
  <c r="K310" i="4"/>
  <c r="J310" i="4"/>
  <c r="I310" i="4"/>
  <c r="H310" i="4"/>
  <c r="G310" i="4"/>
  <c r="K309" i="4"/>
  <c r="J309" i="4"/>
  <c r="I309" i="4"/>
  <c r="H309" i="4"/>
  <c r="G309" i="4"/>
  <c r="K308" i="4"/>
  <c r="J308" i="4"/>
  <c r="I308" i="4"/>
  <c r="H308" i="4"/>
  <c r="G308" i="4"/>
  <c r="K307" i="4"/>
  <c r="J307" i="4"/>
  <c r="I307" i="4"/>
  <c r="H307" i="4"/>
  <c r="G307" i="4"/>
  <c r="K306" i="4"/>
  <c r="J306" i="4"/>
  <c r="I306" i="4"/>
  <c r="H306" i="4"/>
  <c r="G306" i="4"/>
  <c r="K305" i="4"/>
  <c r="J305" i="4"/>
  <c r="I305" i="4"/>
  <c r="H305" i="4"/>
  <c r="G305" i="4"/>
  <c r="K304" i="4"/>
  <c r="J304" i="4"/>
  <c r="I304" i="4"/>
  <c r="H304" i="4"/>
  <c r="G304" i="4"/>
  <c r="K303" i="4"/>
  <c r="J303" i="4"/>
  <c r="I303" i="4"/>
  <c r="H303" i="4"/>
  <c r="G303" i="4"/>
  <c r="K302" i="4"/>
  <c r="J302" i="4"/>
  <c r="I302" i="4"/>
  <c r="H302" i="4"/>
  <c r="G302" i="4"/>
  <c r="K301" i="4"/>
  <c r="J301" i="4"/>
  <c r="I301" i="4"/>
  <c r="H301" i="4"/>
  <c r="G301" i="4"/>
  <c r="K300" i="4"/>
  <c r="J300" i="4"/>
  <c r="I300" i="4"/>
  <c r="H300" i="4"/>
  <c r="G300" i="4"/>
  <c r="K299" i="4"/>
  <c r="J299" i="4"/>
  <c r="I299" i="4"/>
  <c r="H299" i="4"/>
  <c r="G299" i="4"/>
  <c r="K298" i="4"/>
  <c r="J298" i="4"/>
  <c r="I298" i="4"/>
  <c r="H298" i="4"/>
  <c r="G298" i="4"/>
  <c r="K297" i="4"/>
  <c r="J297" i="4"/>
  <c r="I297" i="4"/>
  <c r="H297" i="4"/>
  <c r="G297" i="4"/>
  <c r="K296" i="4"/>
  <c r="J296" i="4"/>
  <c r="I296" i="4"/>
  <c r="H296" i="4"/>
  <c r="G296" i="4"/>
  <c r="K295" i="4"/>
  <c r="J295" i="4"/>
  <c r="I295" i="4"/>
  <c r="H295" i="4"/>
  <c r="G295" i="4"/>
  <c r="K294" i="4"/>
  <c r="J294" i="4"/>
  <c r="I294" i="4"/>
  <c r="H294" i="4"/>
  <c r="G294" i="4"/>
  <c r="K293" i="4"/>
  <c r="J293" i="4"/>
  <c r="I293" i="4"/>
  <c r="H293" i="4"/>
  <c r="G293" i="4"/>
  <c r="K292" i="4"/>
  <c r="J292" i="4"/>
  <c r="I292" i="4"/>
  <c r="H292" i="4"/>
  <c r="G292" i="4"/>
  <c r="K291" i="4"/>
  <c r="J291" i="4"/>
  <c r="I291" i="4"/>
  <c r="H291" i="4"/>
  <c r="G291" i="4"/>
  <c r="K290" i="4"/>
  <c r="J290" i="4"/>
  <c r="I290" i="4"/>
  <c r="H290" i="4"/>
  <c r="G290" i="4"/>
  <c r="K289" i="4"/>
  <c r="J289" i="4"/>
  <c r="I289" i="4"/>
  <c r="H289" i="4"/>
  <c r="G289" i="4"/>
  <c r="K288" i="4"/>
  <c r="J288" i="4"/>
  <c r="I288" i="4"/>
  <c r="H288" i="4"/>
  <c r="G288" i="4"/>
  <c r="K287" i="4"/>
  <c r="J287" i="4"/>
  <c r="I287" i="4"/>
  <c r="H287" i="4"/>
  <c r="G287" i="4"/>
  <c r="K286" i="4"/>
  <c r="J286" i="4"/>
  <c r="I286" i="4"/>
  <c r="H286" i="4"/>
  <c r="G286" i="4"/>
  <c r="K285" i="4"/>
  <c r="J285" i="4"/>
  <c r="I285" i="4"/>
  <c r="H285" i="4"/>
  <c r="G285" i="4"/>
  <c r="K284" i="4"/>
  <c r="J284" i="4"/>
  <c r="I284" i="4"/>
  <c r="H284" i="4"/>
  <c r="G284" i="4"/>
  <c r="K283" i="4"/>
  <c r="J283" i="4"/>
  <c r="I283" i="4"/>
  <c r="H283" i="4"/>
  <c r="G283" i="4"/>
  <c r="K282" i="4"/>
  <c r="J282" i="4"/>
  <c r="I282" i="4"/>
  <c r="H282" i="4"/>
  <c r="G282" i="4"/>
  <c r="K281" i="4"/>
  <c r="J281" i="4"/>
  <c r="I281" i="4"/>
  <c r="H281" i="4"/>
  <c r="G281" i="4"/>
  <c r="K280" i="4"/>
  <c r="J280" i="4"/>
  <c r="I280" i="4"/>
  <c r="H280" i="4"/>
  <c r="G280" i="4"/>
  <c r="K279" i="4"/>
  <c r="J279" i="4"/>
  <c r="I279" i="4"/>
  <c r="H279" i="4"/>
  <c r="G279" i="4"/>
  <c r="K278" i="4"/>
  <c r="J278" i="4"/>
  <c r="I278" i="4"/>
  <c r="H278" i="4"/>
  <c r="G278" i="4"/>
  <c r="K277" i="4"/>
  <c r="J277" i="4"/>
  <c r="I277" i="4"/>
  <c r="H277" i="4"/>
  <c r="G277" i="4"/>
  <c r="K276" i="4"/>
  <c r="J276" i="4"/>
  <c r="I276" i="4"/>
  <c r="H276" i="4"/>
  <c r="G276" i="4"/>
  <c r="K275" i="4"/>
  <c r="J275" i="4"/>
  <c r="I275" i="4"/>
  <c r="H275" i="4"/>
  <c r="G275" i="4"/>
  <c r="K274" i="4"/>
  <c r="J274" i="4"/>
  <c r="I274" i="4"/>
  <c r="H274" i="4"/>
  <c r="G274" i="4"/>
  <c r="K273" i="4"/>
  <c r="J273" i="4"/>
  <c r="I273" i="4"/>
  <c r="H273" i="4"/>
  <c r="G273" i="4"/>
  <c r="K272" i="4"/>
  <c r="J272" i="4"/>
  <c r="I272" i="4"/>
  <c r="H272" i="4"/>
  <c r="G272" i="4"/>
  <c r="K271" i="4"/>
  <c r="J271" i="4"/>
  <c r="I271" i="4"/>
  <c r="H271" i="4"/>
  <c r="G271" i="4"/>
  <c r="K270" i="4"/>
  <c r="J270" i="4"/>
  <c r="I270" i="4"/>
  <c r="H270" i="4"/>
  <c r="G270" i="4"/>
  <c r="K269" i="4"/>
  <c r="J269" i="4"/>
  <c r="I269" i="4"/>
  <c r="H269" i="4"/>
  <c r="G269" i="4"/>
  <c r="K268" i="4"/>
  <c r="J268" i="4"/>
  <c r="I268" i="4"/>
  <c r="H268" i="4"/>
  <c r="G268" i="4"/>
  <c r="K267" i="4"/>
  <c r="J267" i="4"/>
  <c r="I267" i="4"/>
  <c r="H267" i="4"/>
  <c r="G267" i="4"/>
  <c r="K266" i="4"/>
  <c r="J266" i="4"/>
  <c r="I266" i="4"/>
  <c r="H266" i="4"/>
  <c r="G266" i="4"/>
  <c r="K265" i="4"/>
  <c r="J265" i="4"/>
  <c r="I265" i="4"/>
  <c r="H265" i="4"/>
  <c r="G265" i="4"/>
  <c r="K264" i="4"/>
  <c r="J264" i="4"/>
  <c r="I264" i="4"/>
  <c r="H264" i="4"/>
  <c r="G264" i="4"/>
  <c r="K263" i="4"/>
  <c r="J263" i="4"/>
  <c r="I263" i="4"/>
  <c r="H263" i="4"/>
  <c r="G263" i="4"/>
  <c r="K262" i="4"/>
  <c r="J262" i="4"/>
  <c r="I262" i="4"/>
  <c r="H262" i="4"/>
  <c r="G262" i="4"/>
  <c r="K261" i="4"/>
  <c r="J261" i="4"/>
  <c r="I261" i="4"/>
  <c r="H261" i="4"/>
  <c r="G261" i="4"/>
  <c r="K260" i="4"/>
  <c r="J260" i="4"/>
  <c r="I260" i="4"/>
  <c r="H260" i="4"/>
  <c r="G260" i="4"/>
  <c r="K259" i="4"/>
  <c r="J259" i="4"/>
  <c r="I259" i="4"/>
  <c r="H259" i="4"/>
  <c r="G259" i="4"/>
  <c r="K258" i="4"/>
  <c r="J258" i="4"/>
  <c r="I258" i="4"/>
  <c r="H258" i="4"/>
  <c r="G258" i="4"/>
  <c r="K257" i="4"/>
  <c r="J257" i="4"/>
  <c r="I257" i="4"/>
  <c r="H257" i="4"/>
  <c r="G257" i="4"/>
  <c r="K256" i="4"/>
  <c r="J256" i="4"/>
  <c r="I256" i="4"/>
  <c r="H256" i="4"/>
  <c r="G256" i="4"/>
  <c r="K255" i="4"/>
  <c r="J255" i="4"/>
  <c r="I255" i="4"/>
  <c r="H255" i="4"/>
  <c r="G255" i="4"/>
  <c r="K254" i="4"/>
  <c r="J254" i="4"/>
  <c r="I254" i="4"/>
  <c r="H254" i="4"/>
  <c r="G254" i="4"/>
  <c r="K253" i="4"/>
  <c r="J253" i="4"/>
  <c r="I253" i="4"/>
  <c r="H253" i="4"/>
  <c r="G253" i="4"/>
  <c r="K252" i="4"/>
  <c r="J252" i="4"/>
  <c r="I252" i="4"/>
  <c r="H252" i="4"/>
  <c r="G252" i="4"/>
  <c r="K251" i="4"/>
  <c r="J251" i="4"/>
  <c r="I251" i="4"/>
  <c r="H251" i="4"/>
  <c r="G251" i="4"/>
  <c r="K250" i="4"/>
  <c r="J250" i="4"/>
  <c r="I250" i="4"/>
  <c r="H250" i="4"/>
  <c r="G250" i="4"/>
  <c r="K249" i="4"/>
  <c r="J249" i="4"/>
  <c r="I249" i="4"/>
  <c r="H249" i="4"/>
  <c r="G249" i="4"/>
  <c r="K248" i="4"/>
  <c r="J248" i="4"/>
  <c r="I248" i="4"/>
  <c r="H248" i="4"/>
  <c r="G248" i="4"/>
  <c r="K247" i="4"/>
  <c r="J247" i="4"/>
  <c r="I247" i="4"/>
  <c r="H247" i="4"/>
  <c r="G247" i="4"/>
  <c r="K246" i="4"/>
  <c r="J246" i="4"/>
  <c r="I246" i="4"/>
  <c r="H246" i="4"/>
  <c r="G246" i="4"/>
  <c r="K245" i="4"/>
  <c r="J245" i="4"/>
  <c r="I245" i="4"/>
  <c r="H245" i="4"/>
  <c r="G245" i="4"/>
  <c r="K244" i="4"/>
  <c r="J244" i="4"/>
  <c r="I244" i="4"/>
  <c r="H244" i="4"/>
  <c r="G244" i="4"/>
  <c r="K243" i="4"/>
  <c r="J243" i="4"/>
  <c r="I243" i="4"/>
  <c r="H243" i="4"/>
  <c r="G243" i="4"/>
  <c r="K242" i="4"/>
  <c r="J242" i="4"/>
  <c r="I242" i="4"/>
  <c r="H242" i="4"/>
  <c r="G242" i="4"/>
  <c r="K241" i="4"/>
  <c r="J241" i="4"/>
  <c r="I241" i="4"/>
  <c r="H241" i="4"/>
  <c r="G241" i="4"/>
  <c r="K240" i="4"/>
  <c r="J240" i="4"/>
  <c r="I240" i="4"/>
  <c r="H240" i="4"/>
  <c r="G240" i="4"/>
  <c r="K239" i="4"/>
  <c r="J239" i="4"/>
  <c r="I239" i="4"/>
  <c r="H239" i="4"/>
  <c r="G239" i="4"/>
  <c r="K238" i="4"/>
  <c r="J238" i="4"/>
  <c r="I238" i="4"/>
  <c r="H238" i="4"/>
  <c r="G238" i="4"/>
  <c r="K237" i="4"/>
  <c r="J237" i="4"/>
  <c r="I237" i="4"/>
  <c r="H237" i="4"/>
  <c r="G237" i="4"/>
  <c r="K236" i="4"/>
  <c r="J236" i="4"/>
  <c r="I236" i="4"/>
  <c r="H236" i="4"/>
  <c r="G236" i="4"/>
  <c r="K235" i="4"/>
  <c r="J235" i="4"/>
  <c r="I235" i="4"/>
  <c r="H235" i="4"/>
  <c r="G235" i="4"/>
  <c r="K234" i="4"/>
  <c r="J234" i="4"/>
  <c r="I234" i="4"/>
  <c r="H234" i="4"/>
  <c r="G234" i="4"/>
  <c r="K233" i="4"/>
  <c r="J233" i="4"/>
  <c r="I233" i="4"/>
  <c r="H233" i="4"/>
  <c r="G233" i="4"/>
  <c r="K232" i="4"/>
  <c r="J232" i="4"/>
  <c r="I232" i="4"/>
  <c r="H232" i="4"/>
  <c r="G232" i="4"/>
  <c r="K231" i="4"/>
  <c r="J231" i="4"/>
  <c r="I231" i="4"/>
  <c r="H231" i="4"/>
  <c r="G231" i="4"/>
  <c r="K230" i="4"/>
  <c r="J230" i="4"/>
  <c r="I230" i="4"/>
  <c r="H230" i="4"/>
  <c r="G230" i="4"/>
  <c r="K229" i="4"/>
  <c r="J229" i="4"/>
  <c r="I229" i="4"/>
  <c r="H229" i="4"/>
  <c r="G229" i="4"/>
  <c r="K228" i="4"/>
  <c r="J228" i="4"/>
  <c r="I228" i="4"/>
  <c r="H228" i="4"/>
  <c r="G228" i="4"/>
  <c r="K227" i="4"/>
  <c r="J227" i="4"/>
  <c r="I227" i="4"/>
  <c r="H227" i="4"/>
  <c r="G227" i="4"/>
  <c r="K226" i="4"/>
  <c r="J226" i="4"/>
  <c r="I226" i="4"/>
  <c r="H226" i="4"/>
  <c r="G226" i="4"/>
  <c r="K225" i="4"/>
  <c r="J225" i="4"/>
  <c r="I225" i="4"/>
  <c r="H225" i="4"/>
  <c r="G225" i="4"/>
  <c r="K224" i="4"/>
  <c r="J224" i="4"/>
  <c r="I224" i="4"/>
  <c r="H224" i="4"/>
  <c r="G224" i="4"/>
  <c r="K223" i="4"/>
  <c r="J223" i="4"/>
  <c r="I223" i="4"/>
  <c r="H223" i="4"/>
  <c r="G223" i="4"/>
  <c r="K222" i="4"/>
  <c r="J222" i="4"/>
  <c r="I222" i="4"/>
  <c r="H222" i="4"/>
  <c r="G222" i="4"/>
  <c r="K221" i="4"/>
  <c r="J221" i="4"/>
  <c r="I221" i="4"/>
  <c r="H221" i="4"/>
  <c r="G221" i="4"/>
  <c r="K220" i="4"/>
  <c r="J220" i="4"/>
  <c r="I220" i="4"/>
  <c r="H220" i="4"/>
  <c r="G220" i="4"/>
  <c r="K219" i="4"/>
  <c r="J219" i="4"/>
  <c r="I219" i="4"/>
  <c r="H219" i="4"/>
  <c r="G219" i="4"/>
  <c r="K218" i="4"/>
  <c r="J218" i="4"/>
  <c r="I218" i="4"/>
  <c r="H218" i="4"/>
  <c r="G218" i="4"/>
  <c r="K217" i="4"/>
  <c r="J217" i="4"/>
  <c r="I217" i="4"/>
  <c r="H217" i="4"/>
  <c r="G217" i="4"/>
  <c r="K216" i="4"/>
  <c r="J216" i="4"/>
  <c r="I216" i="4"/>
  <c r="H216" i="4"/>
  <c r="G216" i="4"/>
  <c r="K215" i="4"/>
  <c r="J215" i="4"/>
  <c r="I215" i="4"/>
  <c r="H215" i="4"/>
  <c r="G215" i="4"/>
  <c r="K214" i="4"/>
  <c r="J214" i="4"/>
  <c r="I214" i="4"/>
  <c r="H214" i="4"/>
  <c r="G214" i="4"/>
  <c r="K213" i="4"/>
  <c r="J213" i="4"/>
  <c r="I213" i="4"/>
  <c r="H213" i="4"/>
  <c r="G213" i="4"/>
  <c r="K212" i="4"/>
  <c r="J212" i="4"/>
  <c r="I212" i="4"/>
  <c r="H212" i="4"/>
  <c r="G212" i="4"/>
  <c r="K211" i="4"/>
  <c r="J211" i="4"/>
  <c r="I211" i="4"/>
  <c r="H211" i="4"/>
  <c r="G211" i="4"/>
  <c r="K210" i="4"/>
  <c r="J210" i="4"/>
  <c r="I210" i="4"/>
  <c r="H210" i="4"/>
  <c r="G210" i="4"/>
  <c r="K209" i="4"/>
  <c r="J209" i="4"/>
  <c r="I209" i="4"/>
  <c r="H209" i="4"/>
  <c r="G209" i="4"/>
  <c r="K208" i="4"/>
  <c r="J208" i="4"/>
  <c r="I208" i="4"/>
  <c r="H208" i="4"/>
  <c r="G208" i="4"/>
  <c r="K207" i="4"/>
  <c r="J207" i="4"/>
  <c r="I207" i="4"/>
  <c r="H207" i="4"/>
  <c r="G207" i="4"/>
  <c r="K206" i="4"/>
  <c r="J206" i="4"/>
  <c r="I206" i="4"/>
  <c r="H206" i="4"/>
  <c r="G206" i="4"/>
  <c r="K205" i="4"/>
  <c r="J205" i="4"/>
  <c r="I205" i="4"/>
  <c r="H205" i="4"/>
  <c r="G205" i="4"/>
  <c r="K204" i="4"/>
  <c r="J204" i="4"/>
  <c r="I204" i="4"/>
  <c r="H204" i="4"/>
  <c r="G204" i="4"/>
  <c r="K203" i="4"/>
  <c r="J203" i="4"/>
  <c r="I203" i="4"/>
  <c r="H203" i="4"/>
  <c r="G203" i="4"/>
  <c r="K202" i="4"/>
  <c r="J202" i="4"/>
  <c r="I202" i="4"/>
  <c r="H202" i="4"/>
  <c r="G202" i="4"/>
  <c r="K201" i="4"/>
  <c r="J201" i="4"/>
  <c r="I201" i="4"/>
  <c r="H201" i="4"/>
  <c r="G201" i="4"/>
  <c r="K200" i="4"/>
  <c r="J200" i="4"/>
  <c r="I200" i="4"/>
  <c r="H200" i="4"/>
  <c r="G200" i="4"/>
  <c r="K199" i="4"/>
  <c r="J199" i="4"/>
  <c r="I199" i="4"/>
  <c r="H199" i="4"/>
  <c r="G199" i="4"/>
  <c r="K198" i="4"/>
  <c r="J198" i="4"/>
  <c r="I198" i="4"/>
  <c r="H198" i="4"/>
  <c r="G198" i="4"/>
  <c r="K197" i="4"/>
  <c r="J197" i="4"/>
  <c r="I197" i="4"/>
  <c r="H197" i="4"/>
  <c r="G197" i="4"/>
  <c r="K196" i="4"/>
  <c r="J196" i="4"/>
  <c r="I196" i="4"/>
  <c r="H196" i="4"/>
  <c r="G196" i="4"/>
  <c r="K195" i="4"/>
  <c r="J195" i="4"/>
  <c r="I195" i="4"/>
  <c r="H195" i="4"/>
  <c r="G195" i="4"/>
  <c r="K194" i="4"/>
  <c r="J194" i="4"/>
  <c r="I194" i="4"/>
  <c r="H194" i="4"/>
  <c r="G194" i="4"/>
  <c r="K193" i="4"/>
  <c r="J193" i="4"/>
  <c r="I193" i="4"/>
  <c r="H193" i="4"/>
  <c r="G193" i="4"/>
  <c r="K192" i="4"/>
  <c r="J192" i="4"/>
  <c r="I192" i="4"/>
  <c r="H192" i="4"/>
  <c r="G192" i="4"/>
  <c r="K191" i="4"/>
  <c r="J191" i="4"/>
  <c r="I191" i="4"/>
  <c r="H191" i="4"/>
  <c r="G191" i="4"/>
  <c r="K190" i="4"/>
  <c r="J190" i="4"/>
  <c r="I190" i="4"/>
  <c r="H190" i="4"/>
  <c r="G190" i="4"/>
  <c r="K189" i="4"/>
  <c r="J189" i="4"/>
  <c r="I189" i="4"/>
  <c r="H189" i="4"/>
  <c r="G189" i="4"/>
  <c r="K188" i="4"/>
  <c r="J188" i="4"/>
  <c r="I188" i="4"/>
  <c r="H188" i="4"/>
  <c r="G188" i="4"/>
  <c r="K187" i="4"/>
  <c r="J187" i="4"/>
  <c r="I187" i="4"/>
  <c r="H187" i="4"/>
  <c r="G187" i="4"/>
  <c r="K186" i="4"/>
  <c r="J186" i="4"/>
  <c r="I186" i="4"/>
  <c r="H186" i="4"/>
  <c r="G186" i="4"/>
  <c r="K185" i="4"/>
  <c r="J185" i="4"/>
  <c r="I185" i="4"/>
  <c r="H185" i="4"/>
  <c r="G185" i="4"/>
  <c r="K184" i="4"/>
  <c r="J184" i="4"/>
  <c r="I184" i="4"/>
  <c r="H184" i="4"/>
  <c r="G184" i="4"/>
  <c r="K183" i="4"/>
  <c r="J183" i="4"/>
  <c r="I183" i="4"/>
  <c r="H183" i="4"/>
  <c r="G183" i="4"/>
  <c r="K182" i="4"/>
  <c r="J182" i="4"/>
  <c r="I182" i="4"/>
  <c r="H182" i="4"/>
  <c r="G182" i="4"/>
  <c r="K181" i="4"/>
  <c r="J181" i="4"/>
  <c r="I181" i="4"/>
  <c r="H181" i="4"/>
  <c r="G181" i="4"/>
  <c r="K180" i="4"/>
  <c r="J180" i="4"/>
  <c r="I180" i="4"/>
  <c r="H180" i="4"/>
  <c r="G180" i="4"/>
  <c r="K179" i="4"/>
  <c r="J179" i="4"/>
  <c r="I179" i="4"/>
  <c r="H179" i="4"/>
  <c r="G179" i="4"/>
  <c r="K178" i="4"/>
  <c r="J178" i="4"/>
  <c r="I178" i="4"/>
  <c r="H178" i="4"/>
  <c r="G178" i="4"/>
  <c r="K177" i="4"/>
  <c r="J177" i="4"/>
  <c r="I177" i="4"/>
  <c r="H177" i="4"/>
  <c r="G177" i="4"/>
  <c r="K176" i="4"/>
  <c r="J176" i="4"/>
  <c r="I176" i="4"/>
  <c r="H176" i="4"/>
  <c r="G176" i="4"/>
  <c r="K175" i="4"/>
  <c r="J175" i="4"/>
  <c r="I175" i="4"/>
  <c r="H175" i="4"/>
  <c r="G175" i="4"/>
  <c r="K174" i="4"/>
  <c r="J174" i="4"/>
  <c r="I174" i="4"/>
  <c r="H174" i="4"/>
  <c r="G174" i="4"/>
  <c r="K173" i="4"/>
  <c r="J173" i="4"/>
  <c r="I173" i="4"/>
  <c r="H173" i="4"/>
  <c r="G173" i="4"/>
  <c r="K172" i="4"/>
  <c r="J172" i="4"/>
  <c r="I172" i="4"/>
  <c r="H172" i="4"/>
  <c r="G172" i="4"/>
  <c r="K171" i="4"/>
  <c r="J171" i="4"/>
  <c r="I171" i="4"/>
  <c r="H171" i="4"/>
  <c r="G171" i="4"/>
  <c r="K170" i="4"/>
  <c r="J170" i="4"/>
  <c r="I170" i="4"/>
  <c r="H170" i="4"/>
  <c r="G170" i="4"/>
  <c r="K169" i="4"/>
  <c r="J169" i="4"/>
  <c r="I169" i="4"/>
  <c r="H169" i="4"/>
  <c r="G169" i="4"/>
  <c r="K168" i="4"/>
  <c r="J168" i="4"/>
  <c r="I168" i="4"/>
  <c r="H168" i="4"/>
  <c r="G168" i="4"/>
  <c r="K167" i="4"/>
  <c r="J167" i="4"/>
  <c r="I167" i="4"/>
  <c r="H167" i="4"/>
  <c r="G167" i="4"/>
  <c r="K166" i="4"/>
  <c r="J166" i="4"/>
  <c r="I166" i="4"/>
  <c r="H166" i="4"/>
  <c r="G166" i="4"/>
  <c r="K165" i="4"/>
  <c r="J165" i="4"/>
  <c r="I165" i="4"/>
  <c r="H165" i="4"/>
  <c r="G165" i="4"/>
  <c r="K164" i="4"/>
  <c r="J164" i="4"/>
  <c r="I164" i="4"/>
  <c r="H164" i="4"/>
  <c r="G164" i="4"/>
  <c r="K163" i="4"/>
  <c r="J163" i="4"/>
  <c r="I163" i="4"/>
  <c r="H163" i="4"/>
  <c r="G163" i="4"/>
  <c r="K162" i="4"/>
  <c r="J162" i="4"/>
  <c r="I162" i="4"/>
  <c r="H162" i="4"/>
  <c r="G162" i="4"/>
  <c r="K161" i="4"/>
  <c r="J161" i="4"/>
  <c r="I161" i="4"/>
  <c r="H161" i="4"/>
  <c r="G161" i="4"/>
  <c r="K160" i="4"/>
  <c r="J160" i="4"/>
  <c r="I160" i="4"/>
  <c r="H160" i="4"/>
  <c r="G160" i="4"/>
  <c r="K159" i="4"/>
  <c r="J159" i="4"/>
  <c r="I159" i="4"/>
  <c r="H159" i="4"/>
  <c r="G159" i="4"/>
  <c r="K158" i="4"/>
  <c r="J158" i="4"/>
  <c r="I158" i="4"/>
  <c r="H158" i="4"/>
  <c r="G158" i="4"/>
  <c r="K157" i="4"/>
  <c r="J157" i="4"/>
  <c r="I157" i="4"/>
  <c r="H157" i="4"/>
  <c r="G157" i="4"/>
  <c r="K156" i="4"/>
  <c r="J156" i="4"/>
  <c r="I156" i="4"/>
  <c r="H156" i="4"/>
  <c r="G156" i="4"/>
  <c r="K155" i="4"/>
  <c r="J155" i="4"/>
  <c r="I155" i="4"/>
  <c r="H155" i="4"/>
  <c r="G155" i="4"/>
  <c r="K154" i="4"/>
  <c r="J154" i="4"/>
  <c r="I154" i="4"/>
  <c r="H154" i="4"/>
  <c r="G154" i="4"/>
  <c r="K153" i="4"/>
  <c r="J153" i="4"/>
  <c r="I153" i="4"/>
  <c r="H153" i="4"/>
  <c r="G153" i="4"/>
  <c r="K152" i="4"/>
  <c r="J152" i="4"/>
  <c r="I152" i="4"/>
  <c r="H152" i="4"/>
  <c r="G152" i="4"/>
  <c r="K151" i="4"/>
  <c r="J151" i="4"/>
  <c r="I151" i="4"/>
  <c r="H151" i="4"/>
  <c r="G151" i="4"/>
  <c r="K150" i="4"/>
  <c r="J150" i="4"/>
  <c r="I150" i="4"/>
  <c r="H150" i="4"/>
  <c r="G150" i="4"/>
  <c r="K149" i="4"/>
  <c r="J149" i="4"/>
  <c r="I149" i="4"/>
  <c r="H149" i="4"/>
  <c r="G149" i="4"/>
  <c r="K148" i="4"/>
  <c r="J148" i="4"/>
  <c r="I148" i="4"/>
  <c r="H148" i="4"/>
  <c r="G148" i="4"/>
  <c r="K147" i="4"/>
  <c r="J147" i="4"/>
  <c r="I147" i="4"/>
  <c r="H147" i="4"/>
  <c r="G147" i="4"/>
  <c r="K146" i="4"/>
  <c r="J146" i="4"/>
  <c r="I146" i="4"/>
  <c r="H146" i="4"/>
  <c r="G146" i="4"/>
  <c r="K145" i="4"/>
  <c r="J145" i="4"/>
  <c r="I145" i="4"/>
  <c r="H145" i="4"/>
  <c r="G145" i="4"/>
  <c r="K144" i="4"/>
  <c r="J144" i="4"/>
  <c r="I144" i="4"/>
  <c r="H144" i="4"/>
  <c r="G144" i="4"/>
  <c r="K143" i="4"/>
  <c r="J143" i="4"/>
  <c r="I143" i="4"/>
  <c r="H143" i="4"/>
  <c r="G143" i="4"/>
  <c r="K142" i="4"/>
  <c r="J142" i="4"/>
  <c r="I142" i="4"/>
  <c r="H142" i="4"/>
  <c r="G142" i="4"/>
  <c r="K141" i="4"/>
  <c r="J141" i="4"/>
  <c r="I141" i="4"/>
  <c r="H141" i="4"/>
  <c r="G141" i="4"/>
  <c r="K140" i="4"/>
  <c r="J140" i="4"/>
  <c r="I140" i="4"/>
  <c r="H140" i="4"/>
  <c r="G140" i="4"/>
  <c r="K139" i="4"/>
  <c r="J139" i="4"/>
  <c r="I139" i="4"/>
  <c r="H139" i="4"/>
  <c r="G139" i="4"/>
  <c r="K138" i="4"/>
  <c r="J138" i="4"/>
  <c r="I138" i="4"/>
  <c r="H138" i="4"/>
  <c r="G138" i="4"/>
  <c r="K137" i="4"/>
  <c r="J137" i="4"/>
  <c r="I137" i="4"/>
  <c r="H137" i="4"/>
  <c r="G137" i="4"/>
  <c r="K136" i="4"/>
  <c r="J136" i="4"/>
  <c r="I136" i="4"/>
  <c r="H136" i="4"/>
  <c r="G136" i="4"/>
  <c r="K135" i="4"/>
  <c r="J135" i="4"/>
  <c r="I135" i="4"/>
  <c r="H135" i="4"/>
  <c r="G135" i="4"/>
  <c r="K134" i="4"/>
  <c r="J134" i="4"/>
  <c r="I134" i="4"/>
  <c r="H134" i="4"/>
  <c r="G134" i="4"/>
  <c r="K133" i="4"/>
  <c r="J133" i="4"/>
  <c r="I133" i="4"/>
  <c r="H133" i="4"/>
  <c r="G133" i="4"/>
  <c r="K132" i="4"/>
  <c r="J132" i="4"/>
  <c r="I132" i="4"/>
  <c r="H132" i="4"/>
  <c r="G132" i="4"/>
  <c r="K131" i="4"/>
  <c r="J131" i="4"/>
  <c r="I131" i="4"/>
  <c r="H131" i="4"/>
  <c r="G131" i="4"/>
  <c r="K130" i="4"/>
  <c r="J130" i="4"/>
  <c r="I130" i="4"/>
  <c r="H130" i="4"/>
  <c r="G130" i="4"/>
  <c r="K129" i="4"/>
  <c r="J129" i="4"/>
  <c r="I129" i="4"/>
  <c r="H129" i="4"/>
  <c r="G129" i="4"/>
  <c r="K128" i="4"/>
  <c r="J128" i="4"/>
  <c r="I128" i="4"/>
  <c r="H128" i="4"/>
  <c r="G128" i="4"/>
  <c r="K127" i="4"/>
  <c r="J127" i="4"/>
  <c r="I127" i="4"/>
  <c r="H127" i="4"/>
  <c r="G127" i="4"/>
  <c r="K126" i="4"/>
  <c r="J126" i="4"/>
  <c r="I126" i="4"/>
  <c r="H126" i="4"/>
  <c r="G126" i="4"/>
  <c r="K125" i="4"/>
  <c r="J125" i="4"/>
  <c r="I125" i="4"/>
  <c r="H125" i="4"/>
  <c r="G125" i="4"/>
  <c r="K124" i="4"/>
  <c r="J124" i="4"/>
  <c r="I124" i="4"/>
  <c r="H124" i="4"/>
  <c r="G124" i="4"/>
  <c r="K123" i="4"/>
  <c r="J123" i="4"/>
  <c r="I123" i="4"/>
  <c r="H123" i="4"/>
  <c r="G123" i="4"/>
  <c r="K122" i="4"/>
  <c r="J122" i="4"/>
  <c r="I122" i="4"/>
  <c r="H122" i="4"/>
  <c r="G122" i="4"/>
  <c r="K121" i="4"/>
  <c r="J121" i="4"/>
  <c r="I121" i="4"/>
  <c r="H121" i="4"/>
  <c r="G121" i="4"/>
  <c r="K120" i="4"/>
  <c r="J120" i="4"/>
  <c r="I120" i="4"/>
  <c r="H120" i="4"/>
  <c r="G120" i="4"/>
  <c r="K119" i="4"/>
  <c r="J119" i="4"/>
  <c r="I119" i="4"/>
  <c r="H119" i="4"/>
  <c r="G119" i="4"/>
  <c r="K118" i="4"/>
  <c r="J118" i="4"/>
  <c r="I118" i="4"/>
  <c r="H118" i="4"/>
  <c r="G118" i="4"/>
  <c r="K117" i="4"/>
  <c r="J117" i="4"/>
  <c r="I117" i="4"/>
  <c r="H117" i="4"/>
  <c r="G117" i="4"/>
  <c r="K116" i="4"/>
  <c r="J116" i="4"/>
  <c r="I116" i="4"/>
  <c r="H116" i="4"/>
  <c r="G116" i="4"/>
  <c r="K115" i="4"/>
  <c r="J115" i="4"/>
  <c r="I115" i="4"/>
  <c r="H115" i="4"/>
  <c r="G115" i="4"/>
  <c r="K114" i="4"/>
  <c r="J114" i="4"/>
  <c r="I114" i="4"/>
  <c r="H114" i="4"/>
  <c r="G114" i="4"/>
  <c r="K113" i="4"/>
  <c r="J113" i="4"/>
  <c r="I113" i="4"/>
  <c r="H113" i="4"/>
  <c r="G113" i="4"/>
  <c r="K112" i="4"/>
  <c r="J112" i="4"/>
  <c r="I112" i="4"/>
  <c r="H112" i="4"/>
  <c r="G112" i="4"/>
  <c r="K111" i="4"/>
  <c r="J111" i="4"/>
  <c r="I111" i="4"/>
  <c r="H111" i="4"/>
  <c r="G111" i="4"/>
  <c r="K110" i="4"/>
  <c r="J110" i="4"/>
  <c r="I110" i="4"/>
  <c r="H110" i="4"/>
  <c r="G110" i="4"/>
  <c r="K109" i="4"/>
  <c r="J109" i="4"/>
  <c r="I109" i="4"/>
  <c r="H109" i="4"/>
  <c r="G109" i="4"/>
  <c r="K108" i="4"/>
  <c r="J108" i="4"/>
  <c r="I108" i="4"/>
  <c r="H108" i="4"/>
  <c r="G108" i="4"/>
  <c r="K107" i="4"/>
  <c r="J107" i="4"/>
  <c r="I107" i="4"/>
  <c r="H107" i="4"/>
  <c r="G107" i="4"/>
  <c r="K106" i="4"/>
  <c r="J106" i="4"/>
  <c r="I106" i="4"/>
  <c r="H106" i="4"/>
  <c r="G106" i="4"/>
  <c r="K105" i="4"/>
  <c r="J105" i="4"/>
  <c r="I105" i="4"/>
  <c r="H105" i="4"/>
  <c r="G105" i="4"/>
  <c r="K104" i="4"/>
  <c r="J104" i="4"/>
  <c r="I104" i="4"/>
  <c r="H104" i="4"/>
  <c r="G104" i="4"/>
  <c r="K103" i="4"/>
  <c r="J103" i="4"/>
  <c r="I103" i="4"/>
  <c r="H103" i="4"/>
  <c r="G103" i="4"/>
  <c r="K102" i="4"/>
  <c r="J102" i="4"/>
  <c r="I102" i="4"/>
  <c r="H102" i="4"/>
  <c r="G102" i="4"/>
  <c r="K101" i="4"/>
  <c r="J101" i="4"/>
  <c r="I101" i="4"/>
  <c r="H101" i="4"/>
  <c r="G101" i="4"/>
  <c r="K100" i="4"/>
  <c r="J100" i="4"/>
  <c r="I100" i="4"/>
  <c r="H100" i="4"/>
  <c r="G100" i="4"/>
  <c r="K99" i="4"/>
  <c r="J99" i="4"/>
  <c r="I99" i="4"/>
  <c r="H99" i="4"/>
  <c r="G99" i="4"/>
  <c r="K98" i="4"/>
  <c r="J98" i="4"/>
  <c r="I98" i="4"/>
  <c r="H98" i="4"/>
  <c r="G98" i="4"/>
  <c r="K97" i="4"/>
  <c r="J97" i="4"/>
  <c r="I97" i="4"/>
  <c r="H97" i="4"/>
  <c r="G97" i="4"/>
  <c r="K96" i="4"/>
  <c r="J96" i="4"/>
  <c r="I96" i="4"/>
  <c r="H96" i="4"/>
  <c r="G96" i="4"/>
  <c r="K95" i="4"/>
  <c r="J95" i="4"/>
  <c r="I95" i="4"/>
  <c r="H95" i="4"/>
  <c r="G95" i="4"/>
  <c r="K94" i="4"/>
  <c r="J94" i="4"/>
  <c r="I94" i="4"/>
  <c r="H94" i="4"/>
  <c r="G94" i="4"/>
  <c r="K93" i="4"/>
  <c r="J93" i="4"/>
  <c r="I93" i="4"/>
  <c r="H93" i="4"/>
  <c r="G93" i="4"/>
  <c r="K92" i="4"/>
  <c r="J92" i="4"/>
  <c r="I92" i="4"/>
  <c r="H92" i="4"/>
  <c r="G92" i="4"/>
  <c r="K91" i="4"/>
  <c r="J91" i="4"/>
  <c r="I91" i="4"/>
  <c r="H91" i="4"/>
  <c r="G91" i="4"/>
  <c r="K90" i="4"/>
  <c r="J90" i="4"/>
  <c r="I90" i="4"/>
  <c r="H90" i="4"/>
  <c r="G90" i="4"/>
  <c r="K89" i="4"/>
  <c r="J89" i="4"/>
  <c r="I89" i="4"/>
  <c r="H89" i="4"/>
  <c r="G89" i="4"/>
  <c r="K88" i="4"/>
  <c r="J88" i="4"/>
  <c r="I88" i="4"/>
  <c r="H88" i="4"/>
  <c r="G88" i="4"/>
  <c r="K87" i="4"/>
  <c r="J87" i="4"/>
  <c r="I87" i="4"/>
  <c r="H87" i="4"/>
  <c r="G87" i="4"/>
  <c r="K86" i="4"/>
  <c r="J86" i="4"/>
  <c r="I86" i="4"/>
  <c r="H86" i="4"/>
  <c r="G86" i="4"/>
  <c r="K85" i="4"/>
  <c r="J85" i="4"/>
  <c r="I85" i="4"/>
  <c r="H85" i="4"/>
  <c r="G85" i="4"/>
  <c r="K84" i="4"/>
  <c r="J84" i="4"/>
  <c r="I84" i="4"/>
  <c r="H84" i="4"/>
  <c r="G84" i="4"/>
  <c r="K83" i="4"/>
  <c r="J83" i="4"/>
  <c r="I83" i="4"/>
  <c r="H83" i="4"/>
  <c r="G83" i="4"/>
  <c r="K82" i="4"/>
  <c r="J82" i="4"/>
  <c r="I82" i="4"/>
  <c r="H82" i="4"/>
  <c r="G82" i="4"/>
  <c r="K81" i="4"/>
  <c r="J81" i="4"/>
  <c r="I81" i="4"/>
  <c r="H81" i="4"/>
  <c r="G81" i="4"/>
  <c r="K80" i="4"/>
  <c r="J80" i="4"/>
  <c r="I80" i="4"/>
  <c r="H80" i="4"/>
  <c r="G80" i="4"/>
  <c r="K79" i="4"/>
  <c r="J79" i="4"/>
  <c r="I79" i="4"/>
  <c r="H79" i="4"/>
  <c r="G79" i="4"/>
  <c r="K78" i="4"/>
  <c r="J78" i="4"/>
  <c r="I78" i="4"/>
  <c r="H78" i="4"/>
  <c r="G78" i="4"/>
  <c r="K77" i="4"/>
  <c r="J77" i="4"/>
  <c r="I77" i="4"/>
  <c r="H77" i="4"/>
  <c r="G77" i="4"/>
  <c r="K76" i="4"/>
  <c r="J76" i="4"/>
  <c r="I76" i="4"/>
  <c r="H76" i="4"/>
  <c r="G76" i="4"/>
  <c r="K75" i="4"/>
  <c r="J75" i="4"/>
  <c r="I75" i="4"/>
  <c r="H75" i="4"/>
  <c r="G75" i="4"/>
  <c r="K74" i="4"/>
  <c r="J74" i="4"/>
  <c r="I74" i="4"/>
  <c r="H74" i="4"/>
  <c r="G74" i="4"/>
  <c r="K73" i="4"/>
  <c r="J73" i="4"/>
  <c r="I73" i="4"/>
  <c r="H73" i="4"/>
  <c r="G73" i="4"/>
  <c r="K72" i="4"/>
  <c r="J72" i="4"/>
  <c r="I72" i="4"/>
  <c r="H72" i="4"/>
  <c r="G72" i="4"/>
  <c r="K71" i="4"/>
  <c r="J71" i="4"/>
  <c r="I71" i="4"/>
  <c r="H71" i="4"/>
  <c r="G71" i="4"/>
  <c r="K70" i="4"/>
  <c r="J70" i="4"/>
  <c r="I70" i="4"/>
  <c r="H70" i="4"/>
  <c r="G70" i="4"/>
  <c r="K69" i="4"/>
  <c r="J69" i="4"/>
  <c r="I69" i="4"/>
  <c r="H69" i="4"/>
  <c r="G69" i="4"/>
  <c r="K68" i="4"/>
  <c r="J68" i="4"/>
  <c r="I68" i="4"/>
  <c r="H68" i="4"/>
  <c r="G68" i="4"/>
  <c r="K67" i="4"/>
  <c r="J67" i="4"/>
  <c r="I67" i="4"/>
  <c r="H67" i="4"/>
  <c r="G67" i="4"/>
  <c r="K66" i="4"/>
  <c r="J66" i="4"/>
  <c r="I66" i="4"/>
  <c r="H66" i="4"/>
  <c r="G66" i="4"/>
  <c r="K65" i="4"/>
  <c r="J65" i="4"/>
  <c r="I65" i="4"/>
  <c r="H65" i="4"/>
  <c r="G65" i="4"/>
  <c r="K64" i="4"/>
  <c r="J64" i="4"/>
  <c r="I64" i="4"/>
  <c r="H64" i="4"/>
  <c r="G64" i="4"/>
  <c r="K63" i="4"/>
  <c r="J63" i="4"/>
  <c r="I63" i="4"/>
  <c r="H63" i="4"/>
  <c r="G63" i="4"/>
  <c r="K62" i="4"/>
  <c r="J62" i="4"/>
  <c r="I62" i="4"/>
  <c r="H62" i="4"/>
  <c r="G62" i="4"/>
  <c r="K61" i="4"/>
  <c r="J61" i="4"/>
  <c r="I61" i="4"/>
  <c r="H61" i="4"/>
  <c r="G61" i="4"/>
  <c r="K60" i="4"/>
  <c r="J60" i="4"/>
  <c r="I60" i="4"/>
  <c r="H60" i="4"/>
  <c r="G60" i="4"/>
  <c r="K59" i="4"/>
  <c r="J59" i="4"/>
  <c r="I59" i="4"/>
  <c r="H59" i="4"/>
  <c r="G59" i="4"/>
  <c r="K58" i="4"/>
  <c r="J58" i="4"/>
  <c r="I58" i="4"/>
  <c r="H58" i="4"/>
  <c r="G58" i="4"/>
  <c r="K57" i="4"/>
  <c r="J57" i="4"/>
  <c r="I57" i="4"/>
  <c r="H57" i="4"/>
  <c r="G57" i="4"/>
  <c r="K56" i="4"/>
  <c r="J56" i="4"/>
  <c r="I56" i="4"/>
  <c r="H56" i="4"/>
  <c r="G56" i="4"/>
  <c r="K55" i="4"/>
  <c r="J55" i="4"/>
  <c r="I55" i="4"/>
  <c r="H55" i="4"/>
  <c r="G55" i="4"/>
  <c r="K54" i="4"/>
  <c r="J54" i="4"/>
  <c r="I54" i="4"/>
  <c r="H54" i="4"/>
  <c r="G54" i="4"/>
  <c r="K53" i="4"/>
  <c r="J53" i="4"/>
  <c r="I53" i="4"/>
  <c r="H53" i="4"/>
  <c r="G53" i="4"/>
  <c r="K52" i="4"/>
  <c r="J52" i="4"/>
  <c r="I52" i="4"/>
  <c r="H52" i="4"/>
  <c r="G52" i="4"/>
  <c r="K51" i="4"/>
  <c r="J51" i="4"/>
  <c r="I51" i="4"/>
  <c r="H51" i="4"/>
  <c r="G51" i="4"/>
  <c r="K50" i="4"/>
  <c r="J50" i="4"/>
  <c r="I50" i="4"/>
  <c r="H50" i="4"/>
  <c r="G50" i="4"/>
  <c r="K49" i="4"/>
  <c r="J49" i="4"/>
  <c r="I49" i="4"/>
  <c r="H49" i="4"/>
  <c r="G49" i="4"/>
  <c r="K48" i="4"/>
  <c r="J48" i="4"/>
  <c r="I48" i="4"/>
  <c r="H48" i="4"/>
  <c r="G48" i="4"/>
  <c r="K47" i="4"/>
  <c r="J47" i="4"/>
  <c r="I47" i="4"/>
  <c r="H47" i="4"/>
  <c r="G47" i="4"/>
  <c r="K46" i="4"/>
  <c r="J46" i="4"/>
  <c r="I46" i="4"/>
  <c r="H46" i="4"/>
  <c r="G46" i="4"/>
  <c r="K45" i="4"/>
  <c r="J45" i="4"/>
  <c r="I45" i="4"/>
  <c r="H45" i="4"/>
  <c r="G45" i="4"/>
  <c r="K44" i="4"/>
  <c r="J44" i="4"/>
  <c r="I44" i="4"/>
  <c r="H44" i="4"/>
  <c r="G44" i="4"/>
  <c r="K43" i="4"/>
  <c r="J43" i="4"/>
  <c r="I43" i="4"/>
  <c r="H43" i="4"/>
  <c r="G43" i="4"/>
  <c r="K42" i="4"/>
  <c r="J42" i="4"/>
  <c r="I42" i="4"/>
  <c r="H42" i="4"/>
  <c r="G42" i="4"/>
  <c r="K41" i="4"/>
  <c r="J41" i="4"/>
  <c r="I41" i="4"/>
  <c r="H41" i="4"/>
  <c r="G41" i="4"/>
  <c r="K40" i="4"/>
  <c r="J40" i="4"/>
  <c r="I40" i="4"/>
  <c r="H40" i="4"/>
  <c r="G40" i="4"/>
  <c r="K39" i="4"/>
  <c r="J39" i="4"/>
  <c r="I39" i="4"/>
  <c r="H39" i="4"/>
  <c r="G39" i="4"/>
  <c r="K38" i="4"/>
  <c r="J38" i="4"/>
  <c r="I38" i="4"/>
  <c r="H38" i="4"/>
  <c r="G38" i="4"/>
  <c r="K37" i="4"/>
  <c r="J37" i="4"/>
  <c r="I37" i="4"/>
  <c r="H37" i="4"/>
  <c r="G37" i="4"/>
  <c r="K36" i="4"/>
  <c r="J36" i="4"/>
  <c r="I36" i="4"/>
  <c r="H36" i="4"/>
  <c r="G36" i="4"/>
  <c r="K35" i="4"/>
  <c r="J35" i="4"/>
  <c r="I35" i="4"/>
  <c r="H35" i="4"/>
  <c r="G35" i="4"/>
  <c r="K34" i="4"/>
  <c r="J34" i="4"/>
  <c r="I34" i="4"/>
  <c r="H34" i="4"/>
  <c r="G34" i="4"/>
  <c r="K33" i="4"/>
  <c r="J33" i="4"/>
  <c r="I33" i="4"/>
  <c r="H33" i="4"/>
  <c r="G33" i="4"/>
  <c r="K32" i="4"/>
  <c r="J32" i="4"/>
  <c r="I32" i="4"/>
  <c r="H32" i="4"/>
  <c r="G32" i="4"/>
  <c r="K31" i="4"/>
  <c r="J31" i="4"/>
  <c r="I31" i="4"/>
  <c r="H31" i="4"/>
  <c r="G31" i="4"/>
  <c r="Q30" i="4"/>
  <c r="K30" i="4"/>
  <c r="J30" i="4"/>
  <c r="I30" i="4"/>
  <c r="H30" i="4"/>
  <c r="G30" i="4"/>
  <c r="K29" i="4"/>
  <c r="J29" i="4"/>
  <c r="I29" i="4"/>
  <c r="H29" i="4"/>
  <c r="G29" i="4"/>
  <c r="V28" i="4"/>
  <c r="K28" i="4"/>
  <c r="J28" i="4"/>
  <c r="I28" i="4"/>
  <c r="H28" i="4"/>
  <c r="G28" i="4"/>
  <c r="K27" i="4"/>
  <c r="J27" i="4"/>
  <c r="I27" i="4"/>
  <c r="H27" i="4"/>
  <c r="G27" i="4"/>
  <c r="K26" i="4"/>
  <c r="J26" i="4"/>
  <c r="I26" i="4"/>
  <c r="H26" i="4"/>
  <c r="G26" i="4"/>
  <c r="K25" i="4"/>
  <c r="J25" i="4"/>
  <c r="I25" i="4"/>
  <c r="H25" i="4"/>
  <c r="G25" i="4"/>
  <c r="K24" i="4"/>
  <c r="J24" i="4"/>
  <c r="I24" i="4"/>
  <c r="H24" i="4"/>
  <c r="G24" i="4"/>
  <c r="K23" i="4"/>
  <c r="J23" i="4"/>
  <c r="I23" i="4"/>
  <c r="H23" i="4"/>
  <c r="G23" i="4"/>
  <c r="K22" i="4"/>
  <c r="J22" i="4"/>
  <c r="I22" i="4"/>
  <c r="H22" i="4"/>
  <c r="G22" i="4"/>
  <c r="K21" i="4"/>
  <c r="J21" i="4"/>
  <c r="I21" i="4"/>
  <c r="H21" i="4"/>
  <c r="G21" i="4"/>
  <c r="K20" i="4"/>
  <c r="J20" i="4"/>
  <c r="I20" i="4"/>
  <c r="H20" i="4"/>
  <c r="G20" i="4"/>
  <c r="K19" i="4"/>
  <c r="J19" i="4"/>
  <c r="I19" i="4"/>
  <c r="H19" i="4"/>
  <c r="G19" i="4"/>
  <c r="K18" i="4"/>
  <c r="J18" i="4"/>
  <c r="I18" i="4"/>
  <c r="H18" i="4"/>
  <c r="G18" i="4"/>
  <c r="K17" i="4"/>
  <c r="J17" i="4"/>
  <c r="I17" i="4"/>
  <c r="H17" i="4"/>
  <c r="G17" i="4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V9" i="4"/>
  <c r="X7" i="4" s="1"/>
  <c r="O9" i="4"/>
  <c r="K9" i="4"/>
  <c r="J9" i="4"/>
  <c r="I9" i="4"/>
  <c r="H9" i="4"/>
  <c r="G9" i="4"/>
  <c r="V8" i="4"/>
  <c r="W7" i="4" s="1"/>
  <c r="K8" i="4"/>
  <c r="J8" i="4"/>
  <c r="I8" i="4"/>
  <c r="H8" i="4"/>
  <c r="G8" i="4"/>
  <c r="K7" i="4"/>
  <c r="J7" i="4"/>
  <c r="I7" i="4"/>
  <c r="P6" i="4" s="1"/>
  <c r="Q6" i="4" s="1"/>
  <c r="H7" i="4"/>
  <c r="G7" i="4"/>
  <c r="K6" i="4"/>
  <c r="J6" i="4"/>
  <c r="I6" i="4"/>
  <c r="H6" i="4"/>
  <c r="G6" i="4"/>
  <c r="K5" i="4"/>
  <c r="J5" i="4"/>
  <c r="I5" i="4"/>
  <c r="H5" i="4"/>
  <c r="G5" i="4"/>
  <c r="K4" i="4"/>
  <c r="J4" i="4"/>
  <c r="I4" i="4"/>
  <c r="H4" i="4"/>
  <c r="G4" i="4"/>
  <c r="K455" i="2"/>
  <c r="J455" i="2"/>
  <c r="I455" i="2"/>
  <c r="H455" i="2"/>
  <c r="G455" i="2"/>
  <c r="K454" i="2"/>
  <c r="J454" i="2"/>
  <c r="I454" i="2"/>
  <c r="H454" i="2"/>
  <c r="G454" i="2"/>
  <c r="K453" i="2"/>
  <c r="J453" i="2"/>
  <c r="I453" i="2"/>
  <c r="H453" i="2"/>
  <c r="G453" i="2"/>
  <c r="K452" i="2"/>
  <c r="J452" i="2"/>
  <c r="I452" i="2"/>
  <c r="H452" i="2"/>
  <c r="G452" i="2"/>
  <c r="K451" i="2"/>
  <c r="J451" i="2"/>
  <c r="I451" i="2"/>
  <c r="H451" i="2"/>
  <c r="G451" i="2"/>
  <c r="K450" i="2"/>
  <c r="J450" i="2"/>
  <c r="I450" i="2"/>
  <c r="H450" i="2"/>
  <c r="G450" i="2"/>
  <c r="K449" i="2"/>
  <c r="J449" i="2"/>
  <c r="I449" i="2"/>
  <c r="H449" i="2"/>
  <c r="G449" i="2"/>
  <c r="K448" i="2"/>
  <c r="J448" i="2"/>
  <c r="I448" i="2"/>
  <c r="H448" i="2"/>
  <c r="G448" i="2"/>
  <c r="K447" i="2"/>
  <c r="J447" i="2"/>
  <c r="I447" i="2"/>
  <c r="H447" i="2"/>
  <c r="G447" i="2"/>
  <c r="K446" i="2"/>
  <c r="J446" i="2"/>
  <c r="I446" i="2"/>
  <c r="H446" i="2"/>
  <c r="G446" i="2"/>
  <c r="K445" i="2"/>
  <c r="J445" i="2"/>
  <c r="I445" i="2"/>
  <c r="H445" i="2"/>
  <c r="G445" i="2"/>
  <c r="K444" i="2"/>
  <c r="J444" i="2"/>
  <c r="I444" i="2"/>
  <c r="H444" i="2"/>
  <c r="G444" i="2"/>
  <c r="K443" i="2"/>
  <c r="J443" i="2"/>
  <c r="I443" i="2"/>
  <c r="H443" i="2"/>
  <c r="G443" i="2"/>
  <c r="K442" i="2"/>
  <c r="J442" i="2"/>
  <c r="I442" i="2"/>
  <c r="H442" i="2"/>
  <c r="G442" i="2"/>
  <c r="K441" i="2"/>
  <c r="J441" i="2"/>
  <c r="I441" i="2"/>
  <c r="H441" i="2"/>
  <c r="G441" i="2"/>
  <c r="K440" i="2"/>
  <c r="J440" i="2"/>
  <c r="I440" i="2"/>
  <c r="H440" i="2"/>
  <c r="G440" i="2"/>
  <c r="K439" i="2"/>
  <c r="J439" i="2"/>
  <c r="I439" i="2"/>
  <c r="H439" i="2"/>
  <c r="G439" i="2"/>
  <c r="K438" i="2"/>
  <c r="J438" i="2"/>
  <c r="I438" i="2"/>
  <c r="H438" i="2"/>
  <c r="G438" i="2"/>
  <c r="K437" i="2"/>
  <c r="J437" i="2"/>
  <c r="I437" i="2"/>
  <c r="H437" i="2"/>
  <c r="G437" i="2"/>
  <c r="K436" i="2"/>
  <c r="J436" i="2"/>
  <c r="I436" i="2"/>
  <c r="H436" i="2"/>
  <c r="G436" i="2"/>
  <c r="K435" i="2"/>
  <c r="J435" i="2"/>
  <c r="I435" i="2"/>
  <c r="H435" i="2"/>
  <c r="G435" i="2"/>
  <c r="K434" i="2"/>
  <c r="J434" i="2"/>
  <c r="I434" i="2"/>
  <c r="H434" i="2"/>
  <c r="G434" i="2"/>
  <c r="K433" i="2"/>
  <c r="J433" i="2"/>
  <c r="I433" i="2"/>
  <c r="H433" i="2"/>
  <c r="G433" i="2"/>
  <c r="K432" i="2"/>
  <c r="J432" i="2"/>
  <c r="I432" i="2"/>
  <c r="H432" i="2"/>
  <c r="G432" i="2"/>
  <c r="K431" i="2"/>
  <c r="J431" i="2"/>
  <c r="I431" i="2"/>
  <c r="H431" i="2"/>
  <c r="G431" i="2"/>
  <c r="K430" i="2"/>
  <c r="J430" i="2"/>
  <c r="I430" i="2"/>
  <c r="H430" i="2"/>
  <c r="G430" i="2"/>
  <c r="K429" i="2"/>
  <c r="J429" i="2"/>
  <c r="I429" i="2"/>
  <c r="H429" i="2"/>
  <c r="G429" i="2"/>
  <c r="K428" i="2"/>
  <c r="J428" i="2"/>
  <c r="I428" i="2"/>
  <c r="H428" i="2"/>
  <c r="G428" i="2"/>
  <c r="K427" i="2"/>
  <c r="J427" i="2"/>
  <c r="I427" i="2"/>
  <c r="H427" i="2"/>
  <c r="G427" i="2"/>
  <c r="K426" i="2"/>
  <c r="J426" i="2"/>
  <c r="I426" i="2"/>
  <c r="H426" i="2"/>
  <c r="G426" i="2"/>
  <c r="K425" i="2"/>
  <c r="J425" i="2"/>
  <c r="I425" i="2"/>
  <c r="H425" i="2"/>
  <c r="G425" i="2"/>
  <c r="K424" i="2"/>
  <c r="J424" i="2"/>
  <c r="I424" i="2"/>
  <c r="H424" i="2"/>
  <c r="G424" i="2"/>
  <c r="K423" i="2"/>
  <c r="J423" i="2"/>
  <c r="I423" i="2"/>
  <c r="H423" i="2"/>
  <c r="G423" i="2"/>
  <c r="K422" i="2"/>
  <c r="J422" i="2"/>
  <c r="I422" i="2"/>
  <c r="H422" i="2"/>
  <c r="G422" i="2"/>
  <c r="K421" i="2"/>
  <c r="J421" i="2"/>
  <c r="I421" i="2"/>
  <c r="H421" i="2"/>
  <c r="G421" i="2"/>
  <c r="K420" i="2"/>
  <c r="J420" i="2"/>
  <c r="I420" i="2"/>
  <c r="H420" i="2"/>
  <c r="G420" i="2"/>
  <c r="K419" i="2"/>
  <c r="J419" i="2"/>
  <c r="I419" i="2"/>
  <c r="H419" i="2"/>
  <c r="G419" i="2"/>
  <c r="K418" i="2"/>
  <c r="J418" i="2"/>
  <c r="I418" i="2"/>
  <c r="H418" i="2"/>
  <c r="G418" i="2"/>
  <c r="K417" i="2"/>
  <c r="J417" i="2"/>
  <c r="I417" i="2"/>
  <c r="H417" i="2"/>
  <c r="G417" i="2"/>
  <c r="K416" i="2"/>
  <c r="J416" i="2"/>
  <c r="I416" i="2"/>
  <c r="H416" i="2"/>
  <c r="G416" i="2"/>
  <c r="K415" i="2"/>
  <c r="J415" i="2"/>
  <c r="I415" i="2"/>
  <c r="H415" i="2"/>
  <c r="G415" i="2"/>
  <c r="K414" i="2"/>
  <c r="J414" i="2"/>
  <c r="I414" i="2"/>
  <c r="H414" i="2"/>
  <c r="G414" i="2"/>
  <c r="K413" i="2"/>
  <c r="J413" i="2"/>
  <c r="I413" i="2"/>
  <c r="H413" i="2"/>
  <c r="G413" i="2"/>
  <c r="K412" i="2"/>
  <c r="J412" i="2"/>
  <c r="I412" i="2"/>
  <c r="H412" i="2"/>
  <c r="G412" i="2"/>
  <c r="K411" i="2"/>
  <c r="J411" i="2"/>
  <c r="I411" i="2"/>
  <c r="H411" i="2"/>
  <c r="G411" i="2"/>
  <c r="K410" i="2"/>
  <c r="J410" i="2"/>
  <c r="I410" i="2"/>
  <c r="H410" i="2"/>
  <c r="G410" i="2"/>
  <c r="K409" i="2"/>
  <c r="J409" i="2"/>
  <c r="I409" i="2"/>
  <c r="H409" i="2"/>
  <c r="G409" i="2"/>
  <c r="K408" i="2"/>
  <c r="J408" i="2"/>
  <c r="I408" i="2"/>
  <c r="H408" i="2"/>
  <c r="G408" i="2"/>
  <c r="K407" i="2"/>
  <c r="J407" i="2"/>
  <c r="I407" i="2"/>
  <c r="H407" i="2"/>
  <c r="G407" i="2"/>
  <c r="K406" i="2"/>
  <c r="J406" i="2"/>
  <c r="I406" i="2"/>
  <c r="H406" i="2"/>
  <c r="G406" i="2"/>
  <c r="K405" i="2"/>
  <c r="J405" i="2"/>
  <c r="I405" i="2"/>
  <c r="H405" i="2"/>
  <c r="G405" i="2"/>
  <c r="K404" i="2"/>
  <c r="J404" i="2"/>
  <c r="I404" i="2"/>
  <c r="H404" i="2"/>
  <c r="G404" i="2"/>
  <c r="K403" i="2"/>
  <c r="J403" i="2"/>
  <c r="I403" i="2"/>
  <c r="H403" i="2"/>
  <c r="G403" i="2"/>
  <c r="K402" i="2"/>
  <c r="J402" i="2"/>
  <c r="I402" i="2"/>
  <c r="H402" i="2"/>
  <c r="G402" i="2"/>
  <c r="K401" i="2"/>
  <c r="J401" i="2"/>
  <c r="I401" i="2"/>
  <c r="H401" i="2"/>
  <c r="G401" i="2"/>
  <c r="K400" i="2"/>
  <c r="J400" i="2"/>
  <c r="I400" i="2"/>
  <c r="H400" i="2"/>
  <c r="G400" i="2"/>
  <c r="K399" i="2"/>
  <c r="J399" i="2"/>
  <c r="I399" i="2"/>
  <c r="H399" i="2"/>
  <c r="G399" i="2"/>
  <c r="K398" i="2"/>
  <c r="J398" i="2"/>
  <c r="I398" i="2"/>
  <c r="H398" i="2"/>
  <c r="G398" i="2"/>
  <c r="K397" i="2"/>
  <c r="J397" i="2"/>
  <c r="I397" i="2"/>
  <c r="H397" i="2"/>
  <c r="G397" i="2"/>
  <c r="K396" i="2"/>
  <c r="J396" i="2"/>
  <c r="I396" i="2"/>
  <c r="H396" i="2"/>
  <c r="G396" i="2"/>
  <c r="K395" i="2"/>
  <c r="J395" i="2"/>
  <c r="I395" i="2"/>
  <c r="H395" i="2"/>
  <c r="G395" i="2"/>
  <c r="K394" i="2"/>
  <c r="J394" i="2"/>
  <c r="I394" i="2"/>
  <c r="H394" i="2"/>
  <c r="G394" i="2"/>
  <c r="K393" i="2"/>
  <c r="J393" i="2"/>
  <c r="I393" i="2"/>
  <c r="H393" i="2"/>
  <c r="G393" i="2"/>
  <c r="K392" i="2"/>
  <c r="J392" i="2"/>
  <c r="I392" i="2"/>
  <c r="H392" i="2"/>
  <c r="G392" i="2"/>
  <c r="K391" i="2"/>
  <c r="J391" i="2"/>
  <c r="I391" i="2"/>
  <c r="H391" i="2"/>
  <c r="G391" i="2"/>
  <c r="K390" i="2"/>
  <c r="J390" i="2"/>
  <c r="I390" i="2"/>
  <c r="H390" i="2"/>
  <c r="G390" i="2"/>
  <c r="K389" i="2"/>
  <c r="J389" i="2"/>
  <c r="I389" i="2"/>
  <c r="H389" i="2"/>
  <c r="G389" i="2"/>
  <c r="K388" i="2"/>
  <c r="J388" i="2"/>
  <c r="I388" i="2"/>
  <c r="H388" i="2"/>
  <c r="G388" i="2"/>
  <c r="K387" i="2"/>
  <c r="J387" i="2"/>
  <c r="I387" i="2"/>
  <c r="H387" i="2"/>
  <c r="G387" i="2"/>
  <c r="K386" i="2"/>
  <c r="J386" i="2"/>
  <c r="I386" i="2"/>
  <c r="H386" i="2"/>
  <c r="G386" i="2"/>
  <c r="K385" i="2"/>
  <c r="J385" i="2"/>
  <c r="I385" i="2"/>
  <c r="H385" i="2"/>
  <c r="G385" i="2"/>
  <c r="K384" i="2"/>
  <c r="J384" i="2"/>
  <c r="I384" i="2"/>
  <c r="H384" i="2"/>
  <c r="G384" i="2"/>
  <c r="K383" i="2"/>
  <c r="J383" i="2"/>
  <c r="I383" i="2"/>
  <c r="H383" i="2"/>
  <c r="G383" i="2"/>
  <c r="K382" i="2"/>
  <c r="J382" i="2"/>
  <c r="I382" i="2"/>
  <c r="H382" i="2"/>
  <c r="G382" i="2"/>
  <c r="K381" i="2"/>
  <c r="J381" i="2"/>
  <c r="I381" i="2"/>
  <c r="H381" i="2"/>
  <c r="G381" i="2"/>
  <c r="K380" i="2"/>
  <c r="J380" i="2"/>
  <c r="I380" i="2"/>
  <c r="H380" i="2"/>
  <c r="G380" i="2"/>
  <c r="K379" i="2"/>
  <c r="J379" i="2"/>
  <c r="I379" i="2"/>
  <c r="H379" i="2"/>
  <c r="G379" i="2"/>
  <c r="K378" i="2"/>
  <c r="J378" i="2"/>
  <c r="I378" i="2"/>
  <c r="H378" i="2"/>
  <c r="G378" i="2"/>
  <c r="K377" i="2"/>
  <c r="J377" i="2"/>
  <c r="I377" i="2"/>
  <c r="H377" i="2"/>
  <c r="G377" i="2"/>
  <c r="K376" i="2"/>
  <c r="J376" i="2"/>
  <c r="I376" i="2"/>
  <c r="H376" i="2"/>
  <c r="G376" i="2"/>
  <c r="K375" i="2"/>
  <c r="J375" i="2"/>
  <c r="I375" i="2"/>
  <c r="H375" i="2"/>
  <c r="G375" i="2"/>
  <c r="K374" i="2"/>
  <c r="J374" i="2"/>
  <c r="I374" i="2"/>
  <c r="H374" i="2"/>
  <c r="G374" i="2"/>
  <c r="K373" i="2"/>
  <c r="J373" i="2"/>
  <c r="I373" i="2"/>
  <c r="H373" i="2"/>
  <c r="G373" i="2"/>
  <c r="K372" i="2"/>
  <c r="J372" i="2"/>
  <c r="I372" i="2"/>
  <c r="H372" i="2"/>
  <c r="G372" i="2"/>
  <c r="K371" i="2"/>
  <c r="J371" i="2"/>
  <c r="I371" i="2"/>
  <c r="H371" i="2"/>
  <c r="G371" i="2"/>
  <c r="K370" i="2"/>
  <c r="J370" i="2"/>
  <c r="I370" i="2"/>
  <c r="H370" i="2"/>
  <c r="G370" i="2"/>
  <c r="K369" i="2"/>
  <c r="J369" i="2"/>
  <c r="I369" i="2"/>
  <c r="H369" i="2"/>
  <c r="G369" i="2"/>
  <c r="K368" i="2"/>
  <c r="J368" i="2"/>
  <c r="I368" i="2"/>
  <c r="H368" i="2"/>
  <c r="G368" i="2"/>
  <c r="K367" i="2"/>
  <c r="J367" i="2"/>
  <c r="I367" i="2"/>
  <c r="H367" i="2"/>
  <c r="G367" i="2"/>
  <c r="K366" i="2"/>
  <c r="J366" i="2"/>
  <c r="I366" i="2"/>
  <c r="H366" i="2"/>
  <c r="G366" i="2"/>
  <c r="K365" i="2"/>
  <c r="J365" i="2"/>
  <c r="I365" i="2"/>
  <c r="H365" i="2"/>
  <c r="G365" i="2"/>
  <c r="K364" i="2"/>
  <c r="J364" i="2"/>
  <c r="I364" i="2"/>
  <c r="H364" i="2"/>
  <c r="G364" i="2"/>
  <c r="K363" i="2"/>
  <c r="J363" i="2"/>
  <c r="I363" i="2"/>
  <c r="H363" i="2"/>
  <c r="G363" i="2"/>
  <c r="K362" i="2"/>
  <c r="J362" i="2"/>
  <c r="I362" i="2"/>
  <c r="H362" i="2"/>
  <c r="G362" i="2"/>
  <c r="K361" i="2"/>
  <c r="J361" i="2"/>
  <c r="I361" i="2"/>
  <c r="H361" i="2"/>
  <c r="G361" i="2"/>
  <c r="K360" i="2"/>
  <c r="J360" i="2"/>
  <c r="I360" i="2"/>
  <c r="H360" i="2"/>
  <c r="G360" i="2"/>
  <c r="K359" i="2"/>
  <c r="J359" i="2"/>
  <c r="I359" i="2"/>
  <c r="H359" i="2"/>
  <c r="G359" i="2"/>
  <c r="K358" i="2"/>
  <c r="J358" i="2"/>
  <c r="I358" i="2"/>
  <c r="H358" i="2"/>
  <c r="G358" i="2"/>
  <c r="K357" i="2"/>
  <c r="J357" i="2"/>
  <c r="I357" i="2"/>
  <c r="H357" i="2"/>
  <c r="G357" i="2"/>
  <c r="K356" i="2"/>
  <c r="J356" i="2"/>
  <c r="I356" i="2"/>
  <c r="H356" i="2"/>
  <c r="G356" i="2"/>
  <c r="K355" i="2"/>
  <c r="J355" i="2"/>
  <c r="I355" i="2"/>
  <c r="H355" i="2"/>
  <c r="G355" i="2"/>
  <c r="K354" i="2"/>
  <c r="J354" i="2"/>
  <c r="I354" i="2"/>
  <c r="H354" i="2"/>
  <c r="G354" i="2"/>
  <c r="K353" i="2"/>
  <c r="J353" i="2"/>
  <c r="I353" i="2"/>
  <c r="H353" i="2"/>
  <c r="G353" i="2"/>
  <c r="K352" i="2"/>
  <c r="J352" i="2"/>
  <c r="I352" i="2"/>
  <c r="H352" i="2"/>
  <c r="G352" i="2"/>
  <c r="K351" i="2"/>
  <c r="J351" i="2"/>
  <c r="I351" i="2"/>
  <c r="H351" i="2"/>
  <c r="G351" i="2"/>
  <c r="K350" i="2"/>
  <c r="J350" i="2"/>
  <c r="I350" i="2"/>
  <c r="H350" i="2"/>
  <c r="G350" i="2"/>
  <c r="K349" i="2"/>
  <c r="J349" i="2"/>
  <c r="I349" i="2"/>
  <c r="H349" i="2"/>
  <c r="G349" i="2"/>
  <c r="K348" i="2"/>
  <c r="J348" i="2"/>
  <c r="I348" i="2"/>
  <c r="H348" i="2"/>
  <c r="G348" i="2"/>
  <c r="K347" i="2"/>
  <c r="J347" i="2"/>
  <c r="I347" i="2"/>
  <c r="H347" i="2"/>
  <c r="G347" i="2"/>
  <c r="K346" i="2"/>
  <c r="J346" i="2"/>
  <c r="I346" i="2"/>
  <c r="H346" i="2"/>
  <c r="G346" i="2"/>
  <c r="K345" i="2"/>
  <c r="J345" i="2"/>
  <c r="I345" i="2"/>
  <c r="H345" i="2"/>
  <c r="G345" i="2"/>
  <c r="K344" i="2"/>
  <c r="J344" i="2"/>
  <c r="I344" i="2"/>
  <c r="H344" i="2"/>
  <c r="G344" i="2"/>
  <c r="K343" i="2"/>
  <c r="J343" i="2"/>
  <c r="I343" i="2"/>
  <c r="H343" i="2"/>
  <c r="G343" i="2"/>
  <c r="K342" i="2"/>
  <c r="J342" i="2"/>
  <c r="I342" i="2"/>
  <c r="H342" i="2"/>
  <c r="G342" i="2"/>
  <c r="K341" i="2"/>
  <c r="J341" i="2"/>
  <c r="I341" i="2"/>
  <c r="H341" i="2"/>
  <c r="G341" i="2"/>
  <c r="K340" i="2"/>
  <c r="J340" i="2"/>
  <c r="I340" i="2"/>
  <c r="H340" i="2"/>
  <c r="G340" i="2"/>
  <c r="K339" i="2"/>
  <c r="J339" i="2"/>
  <c r="I339" i="2"/>
  <c r="H339" i="2"/>
  <c r="G339" i="2"/>
  <c r="K338" i="2"/>
  <c r="J338" i="2"/>
  <c r="I338" i="2"/>
  <c r="H338" i="2"/>
  <c r="G338" i="2"/>
  <c r="K337" i="2"/>
  <c r="J337" i="2"/>
  <c r="I337" i="2"/>
  <c r="H337" i="2"/>
  <c r="G337" i="2"/>
  <c r="K336" i="2"/>
  <c r="J336" i="2"/>
  <c r="I336" i="2"/>
  <c r="H336" i="2"/>
  <c r="G336" i="2"/>
  <c r="K335" i="2"/>
  <c r="J335" i="2"/>
  <c r="I335" i="2"/>
  <c r="H335" i="2"/>
  <c r="G335" i="2"/>
  <c r="K334" i="2"/>
  <c r="J334" i="2"/>
  <c r="I334" i="2"/>
  <c r="H334" i="2"/>
  <c r="G334" i="2"/>
  <c r="K333" i="2"/>
  <c r="J333" i="2"/>
  <c r="I333" i="2"/>
  <c r="H333" i="2"/>
  <c r="G333" i="2"/>
  <c r="K332" i="2"/>
  <c r="J332" i="2"/>
  <c r="I332" i="2"/>
  <c r="H332" i="2"/>
  <c r="G332" i="2"/>
  <c r="K331" i="2"/>
  <c r="J331" i="2"/>
  <c r="I331" i="2"/>
  <c r="H331" i="2"/>
  <c r="G331" i="2"/>
  <c r="K330" i="2"/>
  <c r="J330" i="2"/>
  <c r="I330" i="2"/>
  <c r="H330" i="2"/>
  <c r="G330" i="2"/>
  <c r="K329" i="2"/>
  <c r="J329" i="2"/>
  <c r="I329" i="2"/>
  <c r="H329" i="2"/>
  <c r="G329" i="2"/>
  <c r="K328" i="2"/>
  <c r="J328" i="2"/>
  <c r="I328" i="2"/>
  <c r="H328" i="2"/>
  <c r="G328" i="2"/>
  <c r="K327" i="2"/>
  <c r="J327" i="2"/>
  <c r="I327" i="2"/>
  <c r="H327" i="2"/>
  <c r="G327" i="2"/>
  <c r="K326" i="2"/>
  <c r="J326" i="2"/>
  <c r="I326" i="2"/>
  <c r="H326" i="2"/>
  <c r="G326" i="2"/>
  <c r="K325" i="2"/>
  <c r="J325" i="2"/>
  <c r="I325" i="2"/>
  <c r="H325" i="2"/>
  <c r="G325" i="2"/>
  <c r="K324" i="2"/>
  <c r="J324" i="2"/>
  <c r="I324" i="2"/>
  <c r="H324" i="2"/>
  <c r="G324" i="2"/>
  <c r="K323" i="2"/>
  <c r="J323" i="2"/>
  <c r="I323" i="2"/>
  <c r="H323" i="2"/>
  <c r="G323" i="2"/>
  <c r="K322" i="2"/>
  <c r="J322" i="2"/>
  <c r="I322" i="2"/>
  <c r="H322" i="2"/>
  <c r="G322" i="2"/>
  <c r="K321" i="2"/>
  <c r="J321" i="2"/>
  <c r="I321" i="2"/>
  <c r="H321" i="2"/>
  <c r="G321" i="2"/>
  <c r="K320" i="2"/>
  <c r="J320" i="2"/>
  <c r="I320" i="2"/>
  <c r="H320" i="2"/>
  <c r="G320" i="2"/>
  <c r="K319" i="2"/>
  <c r="J319" i="2"/>
  <c r="I319" i="2"/>
  <c r="H319" i="2"/>
  <c r="G319" i="2"/>
  <c r="K318" i="2"/>
  <c r="J318" i="2"/>
  <c r="I318" i="2"/>
  <c r="H318" i="2"/>
  <c r="G318" i="2"/>
  <c r="K317" i="2"/>
  <c r="J317" i="2"/>
  <c r="I317" i="2"/>
  <c r="H317" i="2"/>
  <c r="G317" i="2"/>
  <c r="K316" i="2"/>
  <c r="J316" i="2"/>
  <c r="I316" i="2"/>
  <c r="H316" i="2"/>
  <c r="G316" i="2"/>
  <c r="K315" i="2"/>
  <c r="J315" i="2"/>
  <c r="I315" i="2"/>
  <c r="H315" i="2"/>
  <c r="G315" i="2"/>
  <c r="K314" i="2"/>
  <c r="J314" i="2"/>
  <c r="I314" i="2"/>
  <c r="H314" i="2"/>
  <c r="G314" i="2"/>
  <c r="K313" i="2"/>
  <c r="J313" i="2"/>
  <c r="I313" i="2"/>
  <c r="H313" i="2"/>
  <c r="G313" i="2"/>
  <c r="K312" i="2"/>
  <c r="J312" i="2"/>
  <c r="I312" i="2"/>
  <c r="H312" i="2"/>
  <c r="G312" i="2"/>
  <c r="K311" i="2"/>
  <c r="J311" i="2"/>
  <c r="I311" i="2"/>
  <c r="H311" i="2"/>
  <c r="G311" i="2"/>
  <c r="K310" i="2"/>
  <c r="J310" i="2"/>
  <c r="I310" i="2"/>
  <c r="H310" i="2"/>
  <c r="G310" i="2"/>
  <c r="K309" i="2"/>
  <c r="J309" i="2"/>
  <c r="I309" i="2"/>
  <c r="H309" i="2"/>
  <c r="G309" i="2"/>
  <c r="K308" i="2"/>
  <c r="J308" i="2"/>
  <c r="I308" i="2"/>
  <c r="H308" i="2"/>
  <c r="G308" i="2"/>
  <c r="K307" i="2"/>
  <c r="J307" i="2"/>
  <c r="I307" i="2"/>
  <c r="H307" i="2"/>
  <c r="G307" i="2"/>
  <c r="K306" i="2"/>
  <c r="J306" i="2"/>
  <c r="I306" i="2"/>
  <c r="H306" i="2"/>
  <c r="G306" i="2"/>
  <c r="K305" i="2"/>
  <c r="J305" i="2"/>
  <c r="I305" i="2"/>
  <c r="H305" i="2"/>
  <c r="G305" i="2"/>
  <c r="K304" i="2"/>
  <c r="J304" i="2"/>
  <c r="I304" i="2"/>
  <c r="H304" i="2"/>
  <c r="G304" i="2"/>
  <c r="K303" i="2"/>
  <c r="J303" i="2"/>
  <c r="I303" i="2"/>
  <c r="H303" i="2"/>
  <c r="G303" i="2"/>
  <c r="K302" i="2"/>
  <c r="J302" i="2"/>
  <c r="I302" i="2"/>
  <c r="H302" i="2"/>
  <c r="G302" i="2"/>
  <c r="K301" i="2"/>
  <c r="J301" i="2"/>
  <c r="I301" i="2"/>
  <c r="H301" i="2"/>
  <c r="G301" i="2"/>
  <c r="K300" i="2"/>
  <c r="J300" i="2"/>
  <c r="I300" i="2"/>
  <c r="H300" i="2"/>
  <c r="G300" i="2"/>
  <c r="K299" i="2"/>
  <c r="J299" i="2"/>
  <c r="I299" i="2"/>
  <c r="H299" i="2"/>
  <c r="G299" i="2"/>
  <c r="K298" i="2"/>
  <c r="J298" i="2"/>
  <c r="I298" i="2"/>
  <c r="H298" i="2"/>
  <c r="G298" i="2"/>
  <c r="K297" i="2"/>
  <c r="J297" i="2"/>
  <c r="I297" i="2"/>
  <c r="H297" i="2"/>
  <c r="G297" i="2"/>
  <c r="K296" i="2"/>
  <c r="J296" i="2"/>
  <c r="I296" i="2"/>
  <c r="H296" i="2"/>
  <c r="G296" i="2"/>
  <c r="K295" i="2"/>
  <c r="J295" i="2"/>
  <c r="I295" i="2"/>
  <c r="H295" i="2"/>
  <c r="G295" i="2"/>
  <c r="K294" i="2"/>
  <c r="J294" i="2"/>
  <c r="I294" i="2"/>
  <c r="H294" i="2"/>
  <c r="G294" i="2"/>
  <c r="K293" i="2"/>
  <c r="J293" i="2"/>
  <c r="I293" i="2"/>
  <c r="H293" i="2"/>
  <c r="G293" i="2"/>
  <c r="K292" i="2"/>
  <c r="J292" i="2"/>
  <c r="I292" i="2"/>
  <c r="H292" i="2"/>
  <c r="G292" i="2"/>
  <c r="K291" i="2"/>
  <c r="J291" i="2"/>
  <c r="I291" i="2"/>
  <c r="H291" i="2"/>
  <c r="G291" i="2"/>
  <c r="K290" i="2"/>
  <c r="J290" i="2"/>
  <c r="I290" i="2"/>
  <c r="H290" i="2"/>
  <c r="G290" i="2"/>
  <c r="K289" i="2"/>
  <c r="J289" i="2"/>
  <c r="I289" i="2"/>
  <c r="H289" i="2"/>
  <c r="G289" i="2"/>
  <c r="K288" i="2"/>
  <c r="J288" i="2"/>
  <c r="I288" i="2"/>
  <c r="H288" i="2"/>
  <c r="G288" i="2"/>
  <c r="K287" i="2"/>
  <c r="J287" i="2"/>
  <c r="I287" i="2"/>
  <c r="H287" i="2"/>
  <c r="G287" i="2"/>
  <c r="K286" i="2"/>
  <c r="J286" i="2"/>
  <c r="I286" i="2"/>
  <c r="H286" i="2"/>
  <c r="G286" i="2"/>
  <c r="K285" i="2"/>
  <c r="J285" i="2"/>
  <c r="I285" i="2"/>
  <c r="H285" i="2"/>
  <c r="G285" i="2"/>
  <c r="K284" i="2"/>
  <c r="J284" i="2"/>
  <c r="I284" i="2"/>
  <c r="H284" i="2"/>
  <c r="G284" i="2"/>
  <c r="K283" i="2"/>
  <c r="J283" i="2"/>
  <c r="I283" i="2"/>
  <c r="H283" i="2"/>
  <c r="G283" i="2"/>
  <c r="K282" i="2"/>
  <c r="J282" i="2"/>
  <c r="I282" i="2"/>
  <c r="H282" i="2"/>
  <c r="G282" i="2"/>
  <c r="K281" i="2"/>
  <c r="J281" i="2"/>
  <c r="I281" i="2"/>
  <c r="H281" i="2"/>
  <c r="G281" i="2"/>
  <c r="K280" i="2"/>
  <c r="J280" i="2"/>
  <c r="I280" i="2"/>
  <c r="H280" i="2"/>
  <c r="G280" i="2"/>
  <c r="K279" i="2"/>
  <c r="J279" i="2"/>
  <c r="I279" i="2"/>
  <c r="H279" i="2"/>
  <c r="G279" i="2"/>
  <c r="K278" i="2"/>
  <c r="J278" i="2"/>
  <c r="I278" i="2"/>
  <c r="H278" i="2"/>
  <c r="G278" i="2"/>
  <c r="K277" i="2"/>
  <c r="J277" i="2"/>
  <c r="I277" i="2"/>
  <c r="H277" i="2"/>
  <c r="G277" i="2"/>
  <c r="K276" i="2"/>
  <c r="J276" i="2"/>
  <c r="I276" i="2"/>
  <c r="H276" i="2"/>
  <c r="G276" i="2"/>
  <c r="K275" i="2"/>
  <c r="J275" i="2"/>
  <c r="I275" i="2"/>
  <c r="H275" i="2"/>
  <c r="G275" i="2"/>
  <c r="K274" i="2"/>
  <c r="J274" i="2"/>
  <c r="I274" i="2"/>
  <c r="H274" i="2"/>
  <c r="G274" i="2"/>
  <c r="K273" i="2"/>
  <c r="J273" i="2"/>
  <c r="I273" i="2"/>
  <c r="H273" i="2"/>
  <c r="G273" i="2"/>
  <c r="K272" i="2"/>
  <c r="J272" i="2"/>
  <c r="I272" i="2"/>
  <c r="H272" i="2"/>
  <c r="G272" i="2"/>
  <c r="K271" i="2"/>
  <c r="J271" i="2"/>
  <c r="I271" i="2"/>
  <c r="H271" i="2"/>
  <c r="G271" i="2"/>
  <c r="K270" i="2"/>
  <c r="J270" i="2"/>
  <c r="I270" i="2"/>
  <c r="H270" i="2"/>
  <c r="G270" i="2"/>
  <c r="K269" i="2"/>
  <c r="J269" i="2"/>
  <c r="I269" i="2"/>
  <c r="H269" i="2"/>
  <c r="G269" i="2"/>
  <c r="K268" i="2"/>
  <c r="J268" i="2"/>
  <c r="I268" i="2"/>
  <c r="H268" i="2"/>
  <c r="G268" i="2"/>
  <c r="K267" i="2"/>
  <c r="J267" i="2"/>
  <c r="I267" i="2"/>
  <c r="H267" i="2"/>
  <c r="G267" i="2"/>
  <c r="K266" i="2"/>
  <c r="J266" i="2"/>
  <c r="I266" i="2"/>
  <c r="H266" i="2"/>
  <c r="G266" i="2"/>
  <c r="K265" i="2"/>
  <c r="J265" i="2"/>
  <c r="I265" i="2"/>
  <c r="H265" i="2"/>
  <c r="G265" i="2"/>
  <c r="K264" i="2"/>
  <c r="J264" i="2"/>
  <c r="I264" i="2"/>
  <c r="H264" i="2"/>
  <c r="G264" i="2"/>
  <c r="K263" i="2"/>
  <c r="J263" i="2"/>
  <c r="I263" i="2"/>
  <c r="H263" i="2"/>
  <c r="G263" i="2"/>
  <c r="K262" i="2"/>
  <c r="J262" i="2"/>
  <c r="I262" i="2"/>
  <c r="H262" i="2"/>
  <c r="G262" i="2"/>
  <c r="K261" i="2"/>
  <c r="J261" i="2"/>
  <c r="I261" i="2"/>
  <c r="H261" i="2"/>
  <c r="G261" i="2"/>
  <c r="K260" i="2"/>
  <c r="J260" i="2"/>
  <c r="I260" i="2"/>
  <c r="H260" i="2"/>
  <c r="G260" i="2"/>
  <c r="K259" i="2"/>
  <c r="J259" i="2"/>
  <c r="I259" i="2"/>
  <c r="H259" i="2"/>
  <c r="G259" i="2"/>
  <c r="K258" i="2"/>
  <c r="J258" i="2"/>
  <c r="I258" i="2"/>
  <c r="H258" i="2"/>
  <c r="G258" i="2"/>
  <c r="K257" i="2"/>
  <c r="J257" i="2"/>
  <c r="I257" i="2"/>
  <c r="H257" i="2"/>
  <c r="G257" i="2"/>
  <c r="K256" i="2"/>
  <c r="J256" i="2"/>
  <c r="I256" i="2"/>
  <c r="H256" i="2"/>
  <c r="G256" i="2"/>
  <c r="K255" i="2"/>
  <c r="J255" i="2"/>
  <c r="I255" i="2"/>
  <c r="H255" i="2"/>
  <c r="G255" i="2"/>
  <c r="K254" i="2"/>
  <c r="J254" i="2"/>
  <c r="I254" i="2"/>
  <c r="H254" i="2"/>
  <c r="G254" i="2"/>
  <c r="K253" i="2"/>
  <c r="J253" i="2"/>
  <c r="I253" i="2"/>
  <c r="H253" i="2"/>
  <c r="G253" i="2"/>
  <c r="K252" i="2"/>
  <c r="J252" i="2"/>
  <c r="I252" i="2"/>
  <c r="H252" i="2"/>
  <c r="G252" i="2"/>
  <c r="K251" i="2"/>
  <c r="J251" i="2"/>
  <c r="I251" i="2"/>
  <c r="H251" i="2"/>
  <c r="G251" i="2"/>
  <c r="K250" i="2"/>
  <c r="J250" i="2"/>
  <c r="I250" i="2"/>
  <c r="H250" i="2"/>
  <c r="G250" i="2"/>
  <c r="K249" i="2"/>
  <c r="J249" i="2"/>
  <c r="I249" i="2"/>
  <c r="H249" i="2"/>
  <c r="G249" i="2"/>
  <c r="K248" i="2"/>
  <c r="J248" i="2"/>
  <c r="I248" i="2"/>
  <c r="H248" i="2"/>
  <c r="G248" i="2"/>
  <c r="K247" i="2"/>
  <c r="J247" i="2"/>
  <c r="I247" i="2"/>
  <c r="H247" i="2"/>
  <c r="G247" i="2"/>
  <c r="K246" i="2"/>
  <c r="J246" i="2"/>
  <c r="I246" i="2"/>
  <c r="H246" i="2"/>
  <c r="G246" i="2"/>
  <c r="K245" i="2"/>
  <c r="J245" i="2"/>
  <c r="I245" i="2"/>
  <c r="H245" i="2"/>
  <c r="G245" i="2"/>
  <c r="K244" i="2"/>
  <c r="J244" i="2"/>
  <c r="I244" i="2"/>
  <c r="H244" i="2"/>
  <c r="G244" i="2"/>
  <c r="K243" i="2"/>
  <c r="J243" i="2"/>
  <c r="I243" i="2"/>
  <c r="H243" i="2"/>
  <c r="G243" i="2"/>
  <c r="K242" i="2"/>
  <c r="J242" i="2"/>
  <c r="I242" i="2"/>
  <c r="H242" i="2"/>
  <c r="G242" i="2"/>
  <c r="K241" i="2"/>
  <c r="J241" i="2"/>
  <c r="I241" i="2"/>
  <c r="H241" i="2"/>
  <c r="G241" i="2"/>
  <c r="K240" i="2"/>
  <c r="J240" i="2"/>
  <c r="I240" i="2"/>
  <c r="H240" i="2"/>
  <c r="G240" i="2"/>
  <c r="K239" i="2"/>
  <c r="J239" i="2"/>
  <c r="I239" i="2"/>
  <c r="H239" i="2"/>
  <c r="G239" i="2"/>
  <c r="K238" i="2"/>
  <c r="J238" i="2"/>
  <c r="I238" i="2"/>
  <c r="H238" i="2"/>
  <c r="G238" i="2"/>
  <c r="K237" i="2"/>
  <c r="J237" i="2"/>
  <c r="I237" i="2"/>
  <c r="H237" i="2"/>
  <c r="G237" i="2"/>
  <c r="K236" i="2"/>
  <c r="J236" i="2"/>
  <c r="I236" i="2"/>
  <c r="H236" i="2"/>
  <c r="G236" i="2"/>
  <c r="K235" i="2"/>
  <c r="J235" i="2"/>
  <c r="I235" i="2"/>
  <c r="H235" i="2"/>
  <c r="G235" i="2"/>
  <c r="K234" i="2"/>
  <c r="J234" i="2"/>
  <c r="I234" i="2"/>
  <c r="H234" i="2"/>
  <c r="G234" i="2"/>
  <c r="K233" i="2"/>
  <c r="J233" i="2"/>
  <c r="I233" i="2"/>
  <c r="H233" i="2"/>
  <c r="G233" i="2"/>
  <c r="K232" i="2"/>
  <c r="J232" i="2"/>
  <c r="I232" i="2"/>
  <c r="H232" i="2"/>
  <c r="G232" i="2"/>
  <c r="K231" i="2"/>
  <c r="J231" i="2"/>
  <c r="I231" i="2"/>
  <c r="H231" i="2"/>
  <c r="G231" i="2"/>
  <c r="K230" i="2"/>
  <c r="J230" i="2"/>
  <c r="I230" i="2"/>
  <c r="H230" i="2"/>
  <c r="G230" i="2"/>
  <c r="K229" i="2"/>
  <c r="J229" i="2"/>
  <c r="I229" i="2"/>
  <c r="H229" i="2"/>
  <c r="G229" i="2"/>
  <c r="K228" i="2"/>
  <c r="J228" i="2"/>
  <c r="I228" i="2"/>
  <c r="H228" i="2"/>
  <c r="G228" i="2"/>
  <c r="K227" i="2"/>
  <c r="J227" i="2"/>
  <c r="I227" i="2"/>
  <c r="H227" i="2"/>
  <c r="G227" i="2"/>
  <c r="K226" i="2"/>
  <c r="J226" i="2"/>
  <c r="I226" i="2"/>
  <c r="H226" i="2"/>
  <c r="G226" i="2"/>
  <c r="K225" i="2"/>
  <c r="J225" i="2"/>
  <c r="I225" i="2"/>
  <c r="H225" i="2"/>
  <c r="G225" i="2"/>
  <c r="K224" i="2"/>
  <c r="J224" i="2"/>
  <c r="I224" i="2"/>
  <c r="H224" i="2"/>
  <c r="G224" i="2"/>
  <c r="K223" i="2"/>
  <c r="J223" i="2"/>
  <c r="I223" i="2"/>
  <c r="H223" i="2"/>
  <c r="G223" i="2"/>
  <c r="K222" i="2"/>
  <c r="J222" i="2"/>
  <c r="I222" i="2"/>
  <c r="H222" i="2"/>
  <c r="G222" i="2"/>
  <c r="K221" i="2"/>
  <c r="J221" i="2"/>
  <c r="I221" i="2"/>
  <c r="H221" i="2"/>
  <c r="G221" i="2"/>
  <c r="K220" i="2"/>
  <c r="J220" i="2"/>
  <c r="I220" i="2"/>
  <c r="H220" i="2"/>
  <c r="G220" i="2"/>
  <c r="K219" i="2"/>
  <c r="J219" i="2"/>
  <c r="I219" i="2"/>
  <c r="H219" i="2"/>
  <c r="G219" i="2"/>
  <c r="K218" i="2"/>
  <c r="J218" i="2"/>
  <c r="I218" i="2"/>
  <c r="H218" i="2"/>
  <c r="G218" i="2"/>
  <c r="K217" i="2"/>
  <c r="J217" i="2"/>
  <c r="I217" i="2"/>
  <c r="H217" i="2"/>
  <c r="G217" i="2"/>
  <c r="K216" i="2"/>
  <c r="J216" i="2"/>
  <c r="I216" i="2"/>
  <c r="H216" i="2"/>
  <c r="G216" i="2"/>
  <c r="K215" i="2"/>
  <c r="J215" i="2"/>
  <c r="I215" i="2"/>
  <c r="H215" i="2"/>
  <c r="G215" i="2"/>
  <c r="K214" i="2"/>
  <c r="J214" i="2"/>
  <c r="I214" i="2"/>
  <c r="H214" i="2"/>
  <c r="G214" i="2"/>
  <c r="K213" i="2"/>
  <c r="J213" i="2"/>
  <c r="I213" i="2"/>
  <c r="H213" i="2"/>
  <c r="G213" i="2"/>
  <c r="K212" i="2"/>
  <c r="J212" i="2"/>
  <c r="I212" i="2"/>
  <c r="H212" i="2"/>
  <c r="G212" i="2"/>
  <c r="K211" i="2"/>
  <c r="J211" i="2"/>
  <c r="I211" i="2"/>
  <c r="H211" i="2"/>
  <c r="G211" i="2"/>
  <c r="K210" i="2"/>
  <c r="J210" i="2"/>
  <c r="I210" i="2"/>
  <c r="H210" i="2"/>
  <c r="G210" i="2"/>
  <c r="K209" i="2"/>
  <c r="J209" i="2"/>
  <c r="I209" i="2"/>
  <c r="H209" i="2"/>
  <c r="G209" i="2"/>
  <c r="K208" i="2"/>
  <c r="J208" i="2"/>
  <c r="I208" i="2"/>
  <c r="H208" i="2"/>
  <c r="G208" i="2"/>
  <c r="K207" i="2"/>
  <c r="J207" i="2"/>
  <c r="I207" i="2"/>
  <c r="H207" i="2"/>
  <c r="G207" i="2"/>
  <c r="K206" i="2"/>
  <c r="J206" i="2"/>
  <c r="I206" i="2"/>
  <c r="H206" i="2"/>
  <c r="G206" i="2"/>
  <c r="K205" i="2"/>
  <c r="J205" i="2"/>
  <c r="I205" i="2"/>
  <c r="H205" i="2"/>
  <c r="G205" i="2"/>
  <c r="K204" i="2"/>
  <c r="J204" i="2"/>
  <c r="I204" i="2"/>
  <c r="H204" i="2"/>
  <c r="G204" i="2"/>
  <c r="K203" i="2"/>
  <c r="J203" i="2"/>
  <c r="I203" i="2"/>
  <c r="H203" i="2"/>
  <c r="G203" i="2"/>
  <c r="K202" i="2"/>
  <c r="J202" i="2"/>
  <c r="I202" i="2"/>
  <c r="H202" i="2"/>
  <c r="G202" i="2"/>
  <c r="K201" i="2"/>
  <c r="J201" i="2"/>
  <c r="I201" i="2"/>
  <c r="H201" i="2"/>
  <c r="G201" i="2"/>
  <c r="K200" i="2"/>
  <c r="J200" i="2"/>
  <c r="I200" i="2"/>
  <c r="H200" i="2"/>
  <c r="G200" i="2"/>
  <c r="K199" i="2"/>
  <c r="J199" i="2"/>
  <c r="I199" i="2"/>
  <c r="H199" i="2"/>
  <c r="G199" i="2"/>
  <c r="K198" i="2"/>
  <c r="J198" i="2"/>
  <c r="I198" i="2"/>
  <c r="H198" i="2"/>
  <c r="G198" i="2"/>
  <c r="K197" i="2"/>
  <c r="J197" i="2"/>
  <c r="I197" i="2"/>
  <c r="H197" i="2"/>
  <c r="G197" i="2"/>
  <c r="K196" i="2"/>
  <c r="J196" i="2"/>
  <c r="I196" i="2"/>
  <c r="H196" i="2"/>
  <c r="G196" i="2"/>
  <c r="K195" i="2"/>
  <c r="J195" i="2"/>
  <c r="I195" i="2"/>
  <c r="H195" i="2"/>
  <c r="G195" i="2"/>
  <c r="K194" i="2"/>
  <c r="J194" i="2"/>
  <c r="I194" i="2"/>
  <c r="H194" i="2"/>
  <c r="G194" i="2"/>
  <c r="K193" i="2"/>
  <c r="J193" i="2"/>
  <c r="I193" i="2"/>
  <c r="H193" i="2"/>
  <c r="G193" i="2"/>
  <c r="K192" i="2"/>
  <c r="J192" i="2"/>
  <c r="I192" i="2"/>
  <c r="H192" i="2"/>
  <c r="G192" i="2"/>
  <c r="K191" i="2"/>
  <c r="J191" i="2"/>
  <c r="I191" i="2"/>
  <c r="H191" i="2"/>
  <c r="G191" i="2"/>
  <c r="K190" i="2"/>
  <c r="J190" i="2"/>
  <c r="I190" i="2"/>
  <c r="H190" i="2"/>
  <c r="G190" i="2"/>
  <c r="K189" i="2"/>
  <c r="J189" i="2"/>
  <c r="I189" i="2"/>
  <c r="H189" i="2"/>
  <c r="G189" i="2"/>
  <c r="K188" i="2"/>
  <c r="J188" i="2"/>
  <c r="I188" i="2"/>
  <c r="H188" i="2"/>
  <c r="G188" i="2"/>
  <c r="K187" i="2"/>
  <c r="J187" i="2"/>
  <c r="I187" i="2"/>
  <c r="H187" i="2"/>
  <c r="G187" i="2"/>
  <c r="K186" i="2"/>
  <c r="J186" i="2"/>
  <c r="I186" i="2"/>
  <c r="H186" i="2"/>
  <c r="G186" i="2"/>
  <c r="K185" i="2"/>
  <c r="J185" i="2"/>
  <c r="I185" i="2"/>
  <c r="H185" i="2"/>
  <c r="G185" i="2"/>
  <c r="K184" i="2"/>
  <c r="J184" i="2"/>
  <c r="I184" i="2"/>
  <c r="H184" i="2"/>
  <c r="G184" i="2"/>
  <c r="K183" i="2"/>
  <c r="J183" i="2"/>
  <c r="I183" i="2"/>
  <c r="H183" i="2"/>
  <c r="G183" i="2"/>
  <c r="K182" i="2"/>
  <c r="J182" i="2"/>
  <c r="I182" i="2"/>
  <c r="H182" i="2"/>
  <c r="G182" i="2"/>
  <c r="K181" i="2"/>
  <c r="J181" i="2"/>
  <c r="I181" i="2"/>
  <c r="H181" i="2"/>
  <c r="G181" i="2"/>
  <c r="K180" i="2"/>
  <c r="J180" i="2"/>
  <c r="I180" i="2"/>
  <c r="H180" i="2"/>
  <c r="G180" i="2"/>
  <c r="K179" i="2"/>
  <c r="J179" i="2"/>
  <c r="I179" i="2"/>
  <c r="H179" i="2"/>
  <c r="G179" i="2"/>
  <c r="K178" i="2"/>
  <c r="J178" i="2"/>
  <c r="I178" i="2"/>
  <c r="H178" i="2"/>
  <c r="G178" i="2"/>
  <c r="K177" i="2"/>
  <c r="J177" i="2"/>
  <c r="I177" i="2"/>
  <c r="H177" i="2"/>
  <c r="G177" i="2"/>
  <c r="K176" i="2"/>
  <c r="J176" i="2"/>
  <c r="I176" i="2"/>
  <c r="H176" i="2"/>
  <c r="G176" i="2"/>
  <c r="K175" i="2"/>
  <c r="J175" i="2"/>
  <c r="I175" i="2"/>
  <c r="H175" i="2"/>
  <c r="G175" i="2"/>
  <c r="K174" i="2"/>
  <c r="J174" i="2"/>
  <c r="I174" i="2"/>
  <c r="H174" i="2"/>
  <c r="G174" i="2"/>
  <c r="K173" i="2"/>
  <c r="J173" i="2"/>
  <c r="I173" i="2"/>
  <c r="H173" i="2"/>
  <c r="G173" i="2"/>
  <c r="K172" i="2"/>
  <c r="J172" i="2"/>
  <c r="I172" i="2"/>
  <c r="H172" i="2"/>
  <c r="G172" i="2"/>
  <c r="K171" i="2"/>
  <c r="J171" i="2"/>
  <c r="I171" i="2"/>
  <c r="H171" i="2"/>
  <c r="G171" i="2"/>
  <c r="K170" i="2"/>
  <c r="J170" i="2"/>
  <c r="I170" i="2"/>
  <c r="H170" i="2"/>
  <c r="G170" i="2"/>
  <c r="K169" i="2"/>
  <c r="J169" i="2"/>
  <c r="I169" i="2"/>
  <c r="H169" i="2"/>
  <c r="G169" i="2"/>
  <c r="K168" i="2"/>
  <c r="J168" i="2"/>
  <c r="I168" i="2"/>
  <c r="H168" i="2"/>
  <c r="G168" i="2"/>
  <c r="K167" i="2"/>
  <c r="J167" i="2"/>
  <c r="I167" i="2"/>
  <c r="H167" i="2"/>
  <c r="G167" i="2"/>
  <c r="K166" i="2"/>
  <c r="J166" i="2"/>
  <c r="I166" i="2"/>
  <c r="H166" i="2"/>
  <c r="G166" i="2"/>
  <c r="K165" i="2"/>
  <c r="J165" i="2"/>
  <c r="I165" i="2"/>
  <c r="H165" i="2"/>
  <c r="G165" i="2"/>
  <c r="K164" i="2"/>
  <c r="J164" i="2"/>
  <c r="I164" i="2"/>
  <c r="H164" i="2"/>
  <c r="G164" i="2"/>
  <c r="K163" i="2"/>
  <c r="J163" i="2"/>
  <c r="I163" i="2"/>
  <c r="H163" i="2"/>
  <c r="G163" i="2"/>
  <c r="K162" i="2"/>
  <c r="J162" i="2"/>
  <c r="I162" i="2"/>
  <c r="H162" i="2"/>
  <c r="G162" i="2"/>
  <c r="K161" i="2"/>
  <c r="J161" i="2"/>
  <c r="I161" i="2"/>
  <c r="H161" i="2"/>
  <c r="G161" i="2"/>
  <c r="K160" i="2"/>
  <c r="J160" i="2"/>
  <c r="I160" i="2"/>
  <c r="H160" i="2"/>
  <c r="G160" i="2"/>
  <c r="K159" i="2"/>
  <c r="J159" i="2"/>
  <c r="I159" i="2"/>
  <c r="H159" i="2"/>
  <c r="G159" i="2"/>
  <c r="K158" i="2"/>
  <c r="J158" i="2"/>
  <c r="I158" i="2"/>
  <c r="H158" i="2"/>
  <c r="G158" i="2"/>
  <c r="K157" i="2"/>
  <c r="J157" i="2"/>
  <c r="I157" i="2"/>
  <c r="H157" i="2"/>
  <c r="G157" i="2"/>
  <c r="K156" i="2"/>
  <c r="J156" i="2"/>
  <c r="I156" i="2"/>
  <c r="H156" i="2"/>
  <c r="G156" i="2"/>
  <c r="K155" i="2"/>
  <c r="J155" i="2"/>
  <c r="I155" i="2"/>
  <c r="H155" i="2"/>
  <c r="G155" i="2"/>
  <c r="K154" i="2"/>
  <c r="J154" i="2"/>
  <c r="I154" i="2"/>
  <c r="H154" i="2"/>
  <c r="G154" i="2"/>
  <c r="K153" i="2"/>
  <c r="J153" i="2"/>
  <c r="I153" i="2"/>
  <c r="H153" i="2"/>
  <c r="G153" i="2"/>
  <c r="K152" i="2"/>
  <c r="J152" i="2"/>
  <c r="I152" i="2"/>
  <c r="H152" i="2"/>
  <c r="G152" i="2"/>
  <c r="K151" i="2"/>
  <c r="J151" i="2"/>
  <c r="I151" i="2"/>
  <c r="H151" i="2"/>
  <c r="G151" i="2"/>
  <c r="K150" i="2"/>
  <c r="J150" i="2"/>
  <c r="I150" i="2"/>
  <c r="H150" i="2"/>
  <c r="G150" i="2"/>
  <c r="K149" i="2"/>
  <c r="J149" i="2"/>
  <c r="I149" i="2"/>
  <c r="H149" i="2"/>
  <c r="G149" i="2"/>
  <c r="K148" i="2"/>
  <c r="J148" i="2"/>
  <c r="I148" i="2"/>
  <c r="H148" i="2"/>
  <c r="G148" i="2"/>
  <c r="K147" i="2"/>
  <c r="J147" i="2"/>
  <c r="I147" i="2"/>
  <c r="H147" i="2"/>
  <c r="G147" i="2"/>
  <c r="K146" i="2"/>
  <c r="J146" i="2"/>
  <c r="I146" i="2"/>
  <c r="H146" i="2"/>
  <c r="G146" i="2"/>
  <c r="K145" i="2"/>
  <c r="J145" i="2"/>
  <c r="I145" i="2"/>
  <c r="H145" i="2"/>
  <c r="G145" i="2"/>
  <c r="K144" i="2"/>
  <c r="J144" i="2"/>
  <c r="I144" i="2"/>
  <c r="H144" i="2"/>
  <c r="G144" i="2"/>
  <c r="K143" i="2"/>
  <c r="J143" i="2"/>
  <c r="I143" i="2"/>
  <c r="H143" i="2"/>
  <c r="G143" i="2"/>
  <c r="K142" i="2"/>
  <c r="J142" i="2"/>
  <c r="I142" i="2"/>
  <c r="H142" i="2"/>
  <c r="G142" i="2"/>
  <c r="K141" i="2"/>
  <c r="J141" i="2"/>
  <c r="I141" i="2"/>
  <c r="H141" i="2"/>
  <c r="G141" i="2"/>
  <c r="K140" i="2"/>
  <c r="J140" i="2"/>
  <c r="I140" i="2"/>
  <c r="H140" i="2"/>
  <c r="G140" i="2"/>
  <c r="K139" i="2"/>
  <c r="J139" i="2"/>
  <c r="I139" i="2"/>
  <c r="H139" i="2"/>
  <c r="G139" i="2"/>
  <c r="K138" i="2"/>
  <c r="J138" i="2"/>
  <c r="I138" i="2"/>
  <c r="H138" i="2"/>
  <c r="G138" i="2"/>
  <c r="K137" i="2"/>
  <c r="J137" i="2"/>
  <c r="I137" i="2"/>
  <c r="H137" i="2"/>
  <c r="G137" i="2"/>
  <c r="K136" i="2"/>
  <c r="J136" i="2"/>
  <c r="I136" i="2"/>
  <c r="H136" i="2"/>
  <c r="G136" i="2"/>
  <c r="K135" i="2"/>
  <c r="J135" i="2"/>
  <c r="I135" i="2"/>
  <c r="H135" i="2"/>
  <c r="G135" i="2"/>
  <c r="K134" i="2"/>
  <c r="J134" i="2"/>
  <c r="I134" i="2"/>
  <c r="H134" i="2"/>
  <c r="G134" i="2"/>
  <c r="K133" i="2"/>
  <c r="J133" i="2"/>
  <c r="I133" i="2"/>
  <c r="H133" i="2"/>
  <c r="G133" i="2"/>
  <c r="K132" i="2"/>
  <c r="J132" i="2"/>
  <c r="I132" i="2"/>
  <c r="H132" i="2"/>
  <c r="G132" i="2"/>
  <c r="K131" i="2"/>
  <c r="J131" i="2"/>
  <c r="I131" i="2"/>
  <c r="H131" i="2"/>
  <c r="G131" i="2"/>
  <c r="K130" i="2"/>
  <c r="J130" i="2"/>
  <c r="I130" i="2"/>
  <c r="H130" i="2"/>
  <c r="G130" i="2"/>
  <c r="K129" i="2"/>
  <c r="J129" i="2"/>
  <c r="I129" i="2"/>
  <c r="H129" i="2"/>
  <c r="G129" i="2"/>
  <c r="K128" i="2"/>
  <c r="J128" i="2"/>
  <c r="I128" i="2"/>
  <c r="H128" i="2"/>
  <c r="G128" i="2"/>
  <c r="K127" i="2"/>
  <c r="J127" i="2"/>
  <c r="I127" i="2"/>
  <c r="H127" i="2"/>
  <c r="G127" i="2"/>
  <c r="K126" i="2"/>
  <c r="J126" i="2"/>
  <c r="I126" i="2"/>
  <c r="H126" i="2"/>
  <c r="G126" i="2"/>
  <c r="K125" i="2"/>
  <c r="J125" i="2"/>
  <c r="I125" i="2"/>
  <c r="H125" i="2"/>
  <c r="G125" i="2"/>
  <c r="K124" i="2"/>
  <c r="J124" i="2"/>
  <c r="I124" i="2"/>
  <c r="H124" i="2"/>
  <c r="G124" i="2"/>
  <c r="K123" i="2"/>
  <c r="J123" i="2"/>
  <c r="I123" i="2"/>
  <c r="H123" i="2"/>
  <c r="G123" i="2"/>
  <c r="K122" i="2"/>
  <c r="J122" i="2"/>
  <c r="I122" i="2"/>
  <c r="H122" i="2"/>
  <c r="G122" i="2"/>
  <c r="K121" i="2"/>
  <c r="J121" i="2"/>
  <c r="I121" i="2"/>
  <c r="H121" i="2"/>
  <c r="G121" i="2"/>
  <c r="K120" i="2"/>
  <c r="J120" i="2"/>
  <c r="I120" i="2"/>
  <c r="H120" i="2"/>
  <c r="G120" i="2"/>
  <c r="K119" i="2"/>
  <c r="J119" i="2"/>
  <c r="I119" i="2"/>
  <c r="H119" i="2"/>
  <c r="G119" i="2"/>
  <c r="K118" i="2"/>
  <c r="J118" i="2"/>
  <c r="I118" i="2"/>
  <c r="H118" i="2"/>
  <c r="G118" i="2"/>
  <c r="K117" i="2"/>
  <c r="J117" i="2"/>
  <c r="I117" i="2"/>
  <c r="H117" i="2"/>
  <c r="G117" i="2"/>
  <c r="K116" i="2"/>
  <c r="J116" i="2"/>
  <c r="I116" i="2"/>
  <c r="H116" i="2"/>
  <c r="G116" i="2"/>
  <c r="K115" i="2"/>
  <c r="J115" i="2"/>
  <c r="I115" i="2"/>
  <c r="H115" i="2"/>
  <c r="G115" i="2"/>
  <c r="K114" i="2"/>
  <c r="J114" i="2"/>
  <c r="I114" i="2"/>
  <c r="H114" i="2"/>
  <c r="G114" i="2"/>
  <c r="K113" i="2"/>
  <c r="J113" i="2"/>
  <c r="I113" i="2"/>
  <c r="H113" i="2"/>
  <c r="G113" i="2"/>
  <c r="K112" i="2"/>
  <c r="J112" i="2"/>
  <c r="I112" i="2"/>
  <c r="H112" i="2"/>
  <c r="G112" i="2"/>
  <c r="K111" i="2"/>
  <c r="J111" i="2"/>
  <c r="I111" i="2"/>
  <c r="H111" i="2"/>
  <c r="G111" i="2"/>
  <c r="K110" i="2"/>
  <c r="J110" i="2"/>
  <c r="I110" i="2"/>
  <c r="H110" i="2"/>
  <c r="G110" i="2"/>
  <c r="K109" i="2"/>
  <c r="J109" i="2"/>
  <c r="I109" i="2"/>
  <c r="H109" i="2"/>
  <c r="G109" i="2"/>
  <c r="K108" i="2"/>
  <c r="J108" i="2"/>
  <c r="I108" i="2"/>
  <c r="H108" i="2"/>
  <c r="G108" i="2"/>
  <c r="K107" i="2"/>
  <c r="J107" i="2"/>
  <c r="I107" i="2"/>
  <c r="H107" i="2"/>
  <c r="G107" i="2"/>
  <c r="K106" i="2"/>
  <c r="J106" i="2"/>
  <c r="I106" i="2"/>
  <c r="H106" i="2"/>
  <c r="G106" i="2"/>
  <c r="K105" i="2"/>
  <c r="J105" i="2"/>
  <c r="I105" i="2"/>
  <c r="H105" i="2"/>
  <c r="G105" i="2"/>
  <c r="K104" i="2"/>
  <c r="J104" i="2"/>
  <c r="I104" i="2"/>
  <c r="H104" i="2"/>
  <c r="G104" i="2"/>
  <c r="K103" i="2"/>
  <c r="J103" i="2"/>
  <c r="I103" i="2"/>
  <c r="H103" i="2"/>
  <c r="G103" i="2"/>
  <c r="K102" i="2"/>
  <c r="J102" i="2"/>
  <c r="I102" i="2"/>
  <c r="H102" i="2"/>
  <c r="G102" i="2"/>
  <c r="K101" i="2"/>
  <c r="J101" i="2"/>
  <c r="I101" i="2"/>
  <c r="H101" i="2"/>
  <c r="G101" i="2"/>
  <c r="K100" i="2"/>
  <c r="J100" i="2"/>
  <c r="I100" i="2"/>
  <c r="H100" i="2"/>
  <c r="G100" i="2"/>
  <c r="K99" i="2"/>
  <c r="J99" i="2"/>
  <c r="I99" i="2"/>
  <c r="H99" i="2"/>
  <c r="G99" i="2"/>
  <c r="K98" i="2"/>
  <c r="J98" i="2"/>
  <c r="I98" i="2"/>
  <c r="H98" i="2"/>
  <c r="G98" i="2"/>
  <c r="K97" i="2"/>
  <c r="J97" i="2"/>
  <c r="I97" i="2"/>
  <c r="H97" i="2"/>
  <c r="G97" i="2"/>
  <c r="K96" i="2"/>
  <c r="J96" i="2"/>
  <c r="I96" i="2"/>
  <c r="H96" i="2"/>
  <c r="G96" i="2"/>
  <c r="K95" i="2"/>
  <c r="J95" i="2"/>
  <c r="I95" i="2"/>
  <c r="H95" i="2"/>
  <c r="G95" i="2"/>
  <c r="K94" i="2"/>
  <c r="J94" i="2"/>
  <c r="I94" i="2"/>
  <c r="H94" i="2"/>
  <c r="G94" i="2"/>
  <c r="K93" i="2"/>
  <c r="J93" i="2"/>
  <c r="I93" i="2"/>
  <c r="H93" i="2"/>
  <c r="G93" i="2"/>
  <c r="K92" i="2"/>
  <c r="J92" i="2"/>
  <c r="I92" i="2"/>
  <c r="H92" i="2"/>
  <c r="G92" i="2"/>
  <c r="K91" i="2"/>
  <c r="J91" i="2"/>
  <c r="I91" i="2"/>
  <c r="H91" i="2"/>
  <c r="G91" i="2"/>
  <c r="K90" i="2"/>
  <c r="J90" i="2"/>
  <c r="I90" i="2"/>
  <c r="H90" i="2"/>
  <c r="G90" i="2"/>
  <c r="K89" i="2"/>
  <c r="J89" i="2"/>
  <c r="I89" i="2"/>
  <c r="H89" i="2"/>
  <c r="G89" i="2"/>
  <c r="K88" i="2"/>
  <c r="J88" i="2"/>
  <c r="I88" i="2"/>
  <c r="H88" i="2"/>
  <c r="G88" i="2"/>
  <c r="K87" i="2"/>
  <c r="J87" i="2"/>
  <c r="I87" i="2"/>
  <c r="H87" i="2"/>
  <c r="G87" i="2"/>
  <c r="K86" i="2"/>
  <c r="J86" i="2"/>
  <c r="I86" i="2"/>
  <c r="H86" i="2"/>
  <c r="G86" i="2"/>
  <c r="K85" i="2"/>
  <c r="J85" i="2"/>
  <c r="I85" i="2"/>
  <c r="H85" i="2"/>
  <c r="G85" i="2"/>
  <c r="K84" i="2"/>
  <c r="J84" i="2"/>
  <c r="I84" i="2"/>
  <c r="H84" i="2"/>
  <c r="G84" i="2"/>
  <c r="K83" i="2"/>
  <c r="J83" i="2"/>
  <c r="I83" i="2"/>
  <c r="H83" i="2"/>
  <c r="G83" i="2"/>
  <c r="K82" i="2"/>
  <c r="J82" i="2"/>
  <c r="I82" i="2"/>
  <c r="H82" i="2"/>
  <c r="G82" i="2"/>
  <c r="K81" i="2"/>
  <c r="J81" i="2"/>
  <c r="I81" i="2"/>
  <c r="H81" i="2"/>
  <c r="G81" i="2"/>
  <c r="K80" i="2"/>
  <c r="J80" i="2"/>
  <c r="I80" i="2"/>
  <c r="H80" i="2"/>
  <c r="G80" i="2"/>
  <c r="K79" i="2"/>
  <c r="J79" i="2"/>
  <c r="I79" i="2"/>
  <c r="H79" i="2"/>
  <c r="G79" i="2"/>
  <c r="K78" i="2"/>
  <c r="J78" i="2"/>
  <c r="I78" i="2"/>
  <c r="H78" i="2"/>
  <c r="G78" i="2"/>
  <c r="K77" i="2"/>
  <c r="J77" i="2"/>
  <c r="I77" i="2"/>
  <c r="H77" i="2"/>
  <c r="G77" i="2"/>
  <c r="K76" i="2"/>
  <c r="J76" i="2"/>
  <c r="I76" i="2"/>
  <c r="H76" i="2"/>
  <c r="G76" i="2"/>
  <c r="K75" i="2"/>
  <c r="J75" i="2"/>
  <c r="I75" i="2"/>
  <c r="H75" i="2"/>
  <c r="G75" i="2"/>
  <c r="K74" i="2"/>
  <c r="J74" i="2"/>
  <c r="I74" i="2"/>
  <c r="H74" i="2"/>
  <c r="G74" i="2"/>
  <c r="K73" i="2"/>
  <c r="J73" i="2"/>
  <c r="I73" i="2"/>
  <c r="H73" i="2"/>
  <c r="G73" i="2"/>
  <c r="K72" i="2"/>
  <c r="J72" i="2"/>
  <c r="I72" i="2"/>
  <c r="H72" i="2"/>
  <c r="G72" i="2"/>
  <c r="K71" i="2"/>
  <c r="J71" i="2"/>
  <c r="I71" i="2"/>
  <c r="H71" i="2"/>
  <c r="G71" i="2"/>
  <c r="K70" i="2"/>
  <c r="J70" i="2"/>
  <c r="I70" i="2"/>
  <c r="H70" i="2"/>
  <c r="G70" i="2"/>
  <c r="K69" i="2"/>
  <c r="J69" i="2"/>
  <c r="I69" i="2"/>
  <c r="H69" i="2"/>
  <c r="G69" i="2"/>
  <c r="K68" i="2"/>
  <c r="J68" i="2"/>
  <c r="I68" i="2"/>
  <c r="H68" i="2"/>
  <c r="G68" i="2"/>
  <c r="K67" i="2"/>
  <c r="J67" i="2"/>
  <c r="I67" i="2"/>
  <c r="H67" i="2"/>
  <c r="G67" i="2"/>
  <c r="K66" i="2"/>
  <c r="J66" i="2"/>
  <c r="I66" i="2"/>
  <c r="H66" i="2"/>
  <c r="G66" i="2"/>
  <c r="K65" i="2"/>
  <c r="J65" i="2"/>
  <c r="I65" i="2"/>
  <c r="H65" i="2"/>
  <c r="G65" i="2"/>
  <c r="K64" i="2"/>
  <c r="J64" i="2"/>
  <c r="I64" i="2"/>
  <c r="H64" i="2"/>
  <c r="G64" i="2"/>
  <c r="K63" i="2"/>
  <c r="J63" i="2"/>
  <c r="I63" i="2"/>
  <c r="H63" i="2"/>
  <c r="G63" i="2"/>
  <c r="K62" i="2"/>
  <c r="J62" i="2"/>
  <c r="I62" i="2"/>
  <c r="H62" i="2"/>
  <c r="G62" i="2"/>
  <c r="K61" i="2"/>
  <c r="J61" i="2"/>
  <c r="I61" i="2"/>
  <c r="H61" i="2"/>
  <c r="G61" i="2"/>
  <c r="K60" i="2"/>
  <c r="J60" i="2"/>
  <c r="I60" i="2"/>
  <c r="H60" i="2"/>
  <c r="G60" i="2"/>
  <c r="K59" i="2"/>
  <c r="J59" i="2"/>
  <c r="I59" i="2"/>
  <c r="H59" i="2"/>
  <c r="G59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K54" i="2"/>
  <c r="J54" i="2"/>
  <c r="I54" i="2"/>
  <c r="H54" i="2"/>
  <c r="G54" i="2"/>
  <c r="K53" i="2"/>
  <c r="J53" i="2"/>
  <c r="I53" i="2"/>
  <c r="H53" i="2"/>
  <c r="G53" i="2"/>
  <c r="K52" i="2"/>
  <c r="J52" i="2"/>
  <c r="I52" i="2"/>
  <c r="H52" i="2"/>
  <c r="G52" i="2"/>
  <c r="K51" i="2"/>
  <c r="J51" i="2"/>
  <c r="I51" i="2"/>
  <c r="H51" i="2"/>
  <c r="G51" i="2"/>
  <c r="K50" i="2"/>
  <c r="J50" i="2"/>
  <c r="I50" i="2"/>
  <c r="H50" i="2"/>
  <c r="G50" i="2"/>
  <c r="K49" i="2"/>
  <c r="J49" i="2"/>
  <c r="I49" i="2"/>
  <c r="H49" i="2"/>
  <c r="G49" i="2"/>
  <c r="K48" i="2"/>
  <c r="J48" i="2"/>
  <c r="I48" i="2"/>
  <c r="H48" i="2"/>
  <c r="G48" i="2"/>
  <c r="K47" i="2"/>
  <c r="J47" i="2"/>
  <c r="I47" i="2"/>
  <c r="H47" i="2"/>
  <c r="G47" i="2"/>
  <c r="K46" i="2"/>
  <c r="J46" i="2"/>
  <c r="I46" i="2"/>
  <c r="H46" i="2"/>
  <c r="G46" i="2"/>
  <c r="K45" i="2"/>
  <c r="J45" i="2"/>
  <c r="I45" i="2"/>
  <c r="H45" i="2"/>
  <c r="G45" i="2"/>
  <c r="K44" i="2"/>
  <c r="J44" i="2"/>
  <c r="I44" i="2"/>
  <c r="H44" i="2"/>
  <c r="G44" i="2"/>
  <c r="K43" i="2"/>
  <c r="J43" i="2"/>
  <c r="I43" i="2"/>
  <c r="H43" i="2"/>
  <c r="G43" i="2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Q30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O9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  <c r="K4" i="2"/>
  <c r="J4" i="2"/>
  <c r="I4" i="2"/>
  <c r="H4" i="2"/>
  <c r="G4" i="2"/>
  <c r="V28" i="1"/>
  <c r="N4" i="4" l="1"/>
  <c r="V7" i="4"/>
  <c r="U7" i="4"/>
  <c r="V6" i="4" s="1"/>
  <c r="U8" i="4"/>
  <c r="W6" i="4" s="1"/>
  <c r="U9" i="4"/>
  <c r="X6" i="4" s="1"/>
  <c r="P5" i="4"/>
  <c r="Q5" i="4" s="1"/>
  <c r="U6" i="4"/>
  <c r="P4" i="4"/>
  <c r="Q4" i="4" s="1"/>
  <c r="N6" i="4"/>
  <c r="R6" i="4" s="1"/>
  <c r="T5" i="4"/>
  <c r="R4" i="4"/>
  <c r="T7" i="4"/>
  <c r="V5" i="4" s="1"/>
  <c r="T6" i="4"/>
  <c r="U5" i="4" s="1"/>
  <c r="N5" i="4"/>
  <c r="R5" i="4" s="1"/>
  <c r="T8" i="4"/>
  <c r="W5" i="4" s="1"/>
  <c r="T9" i="4"/>
  <c r="X5" i="4" s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/>
  <c r="I82" i="1"/>
  <c r="J82" i="1"/>
  <c r="K82" i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/>
  <c r="G95" i="1"/>
  <c r="H95" i="1"/>
  <c r="I95" i="1"/>
  <c r="J95" i="1"/>
  <c r="K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H99" i="1"/>
  <c r="I99" i="1"/>
  <c r="J99" i="1"/>
  <c r="K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G108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H117" i="1"/>
  <c r="I117" i="1"/>
  <c r="J117" i="1"/>
  <c r="K117" i="1"/>
  <c r="G118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1" i="1"/>
  <c r="H121" i="1"/>
  <c r="I121" i="1"/>
  <c r="J121" i="1"/>
  <c r="K121" i="1"/>
  <c r="G122" i="1"/>
  <c r="H122" i="1"/>
  <c r="I122" i="1"/>
  <c r="J122" i="1"/>
  <c r="K122" i="1"/>
  <c r="G123" i="1"/>
  <c r="H123" i="1"/>
  <c r="I123" i="1"/>
  <c r="J123" i="1"/>
  <c r="K123" i="1"/>
  <c r="G124" i="1"/>
  <c r="H124" i="1"/>
  <c r="I124" i="1"/>
  <c r="J124" i="1"/>
  <c r="K124" i="1"/>
  <c r="G125" i="1"/>
  <c r="H125" i="1"/>
  <c r="I125" i="1"/>
  <c r="J125" i="1"/>
  <c r="K125" i="1"/>
  <c r="G126" i="1"/>
  <c r="H126" i="1"/>
  <c r="I126" i="1"/>
  <c r="J126" i="1"/>
  <c r="K126" i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130" i="1"/>
  <c r="H130" i="1"/>
  <c r="I130" i="1"/>
  <c r="J130" i="1"/>
  <c r="K130" i="1"/>
  <c r="G131" i="1"/>
  <c r="H131" i="1"/>
  <c r="I131" i="1"/>
  <c r="J131" i="1"/>
  <c r="K131" i="1"/>
  <c r="G132" i="1"/>
  <c r="H132" i="1"/>
  <c r="I132" i="1"/>
  <c r="J132" i="1"/>
  <c r="K132" i="1"/>
  <c r="G133" i="1"/>
  <c r="H133" i="1"/>
  <c r="I133" i="1"/>
  <c r="J133" i="1"/>
  <c r="K133" i="1"/>
  <c r="G134" i="1"/>
  <c r="H134" i="1"/>
  <c r="I134" i="1"/>
  <c r="J134" i="1"/>
  <c r="K134" i="1"/>
  <c r="G135" i="1"/>
  <c r="H135" i="1"/>
  <c r="I135" i="1"/>
  <c r="J135" i="1"/>
  <c r="K135" i="1"/>
  <c r="G136" i="1"/>
  <c r="H136" i="1"/>
  <c r="I136" i="1"/>
  <c r="J136" i="1"/>
  <c r="K136" i="1"/>
  <c r="G137" i="1"/>
  <c r="H137" i="1"/>
  <c r="I137" i="1"/>
  <c r="J137" i="1"/>
  <c r="K137" i="1"/>
  <c r="G138" i="1"/>
  <c r="H138" i="1"/>
  <c r="I138" i="1"/>
  <c r="J138" i="1"/>
  <c r="K138" i="1"/>
  <c r="G139" i="1"/>
  <c r="H139" i="1"/>
  <c r="I139" i="1"/>
  <c r="J139" i="1"/>
  <c r="K139" i="1"/>
  <c r="G140" i="1"/>
  <c r="H140" i="1"/>
  <c r="I140" i="1"/>
  <c r="J140" i="1"/>
  <c r="K140" i="1"/>
  <c r="G141" i="1"/>
  <c r="H141" i="1"/>
  <c r="I141" i="1"/>
  <c r="J141" i="1"/>
  <c r="K141" i="1"/>
  <c r="G142" i="1"/>
  <c r="H142" i="1"/>
  <c r="I142" i="1"/>
  <c r="J142" i="1"/>
  <c r="K142" i="1"/>
  <c r="G143" i="1"/>
  <c r="H143" i="1"/>
  <c r="I143" i="1"/>
  <c r="J143" i="1"/>
  <c r="K143" i="1"/>
  <c r="G144" i="1"/>
  <c r="H144" i="1"/>
  <c r="I144" i="1"/>
  <c r="J144" i="1"/>
  <c r="K144" i="1"/>
  <c r="G145" i="1"/>
  <c r="H145" i="1"/>
  <c r="I145" i="1"/>
  <c r="J145" i="1"/>
  <c r="K145" i="1"/>
  <c r="G146" i="1"/>
  <c r="H146" i="1"/>
  <c r="I146" i="1"/>
  <c r="J146" i="1"/>
  <c r="K146" i="1"/>
  <c r="G147" i="1"/>
  <c r="H147" i="1"/>
  <c r="I147" i="1"/>
  <c r="J147" i="1"/>
  <c r="K147" i="1"/>
  <c r="G148" i="1"/>
  <c r="H148" i="1"/>
  <c r="I148" i="1"/>
  <c r="J148" i="1"/>
  <c r="K148" i="1"/>
  <c r="G149" i="1"/>
  <c r="H149" i="1"/>
  <c r="I149" i="1"/>
  <c r="J149" i="1"/>
  <c r="K149" i="1"/>
  <c r="G150" i="1"/>
  <c r="H150" i="1"/>
  <c r="I150" i="1"/>
  <c r="J150" i="1"/>
  <c r="K150" i="1"/>
  <c r="G151" i="1"/>
  <c r="H151" i="1"/>
  <c r="I151" i="1"/>
  <c r="J151" i="1"/>
  <c r="K151" i="1"/>
  <c r="G152" i="1"/>
  <c r="H152" i="1"/>
  <c r="I152" i="1"/>
  <c r="J152" i="1"/>
  <c r="K152" i="1"/>
  <c r="G153" i="1"/>
  <c r="H153" i="1"/>
  <c r="I153" i="1"/>
  <c r="J153" i="1"/>
  <c r="K153" i="1"/>
  <c r="G154" i="1"/>
  <c r="H154" i="1"/>
  <c r="I154" i="1"/>
  <c r="J154" i="1"/>
  <c r="K154" i="1"/>
  <c r="G155" i="1"/>
  <c r="H155" i="1"/>
  <c r="I155" i="1"/>
  <c r="J155" i="1"/>
  <c r="K155" i="1"/>
  <c r="G156" i="1"/>
  <c r="H156" i="1"/>
  <c r="I156" i="1"/>
  <c r="J156" i="1"/>
  <c r="K156" i="1"/>
  <c r="G157" i="1"/>
  <c r="H157" i="1"/>
  <c r="I157" i="1"/>
  <c r="J157" i="1"/>
  <c r="K157" i="1"/>
  <c r="G158" i="1"/>
  <c r="H158" i="1"/>
  <c r="I158" i="1"/>
  <c r="J158" i="1"/>
  <c r="K158" i="1"/>
  <c r="G159" i="1"/>
  <c r="H159" i="1"/>
  <c r="I159" i="1"/>
  <c r="J159" i="1"/>
  <c r="K159" i="1"/>
  <c r="G160" i="1"/>
  <c r="H160" i="1"/>
  <c r="I160" i="1"/>
  <c r="J160" i="1"/>
  <c r="K160" i="1"/>
  <c r="G161" i="1"/>
  <c r="H161" i="1"/>
  <c r="I161" i="1"/>
  <c r="J161" i="1"/>
  <c r="K161" i="1"/>
  <c r="G162" i="1"/>
  <c r="H162" i="1"/>
  <c r="I162" i="1"/>
  <c r="J162" i="1"/>
  <c r="K162" i="1"/>
  <c r="G163" i="1"/>
  <c r="H163" i="1"/>
  <c r="I163" i="1"/>
  <c r="J163" i="1"/>
  <c r="K163" i="1"/>
  <c r="G164" i="1"/>
  <c r="H164" i="1"/>
  <c r="I164" i="1"/>
  <c r="J164" i="1"/>
  <c r="K164" i="1"/>
  <c r="G165" i="1"/>
  <c r="H165" i="1"/>
  <c r="I165" i="1"/>
  <c r="J165" i="1"/>
  <c r="K165" i="1"/>
  <c r="G166" i="1"/>
  <c r="H166" i="1"/>
  <c r="I166" i="1"/>
  <c r="J166" i="1"/>
  <c r="K166" i="1"/>
  <c r="G167" i="1"/>
  <c r="H167" i="1"/>
  <c r="I167" i="1"/>
  <c r="J167" i="1"/>
  <c r="K167" i="1"/>
  <c r="G168" i="1"/>
  <c r="H168" i="1"/>
  <c r="I168" i="1"/>
  <c r="J168" i="1"/>
  <c r="K168" i="1"/>
  <c r="G169" i="1"/>
  <c r="H169" i="1"/>
  <c r="I169" i="1"/>
  <c r="J169" i="1"/>
  <c r="K169" i="1"/>
  <c r="G170" i="1"/>
  <c r="H170" i="1"/>
  <c r="I170" i="1"/>
  <c r="J170" i="1"/>
  <c r="K170" i="1"/>
  <c r="G171" i="1"/>
  <c r="H171" i="1"/>
  <c r="I171" i="1"/>
  <c r="J171" i="1"/>
  <c r="K171" i="1"/>
  <c r="G172" i="1"/>
  <c r="H172" i="1"/>
  <c r="I172" i="1"/>
  <c r="J172" i="1"/>
  <c r="K172" i="1"/>
  <c r="G173" i="1"/>
  <c r="H173" i="1"/>
  <c r="I173" i="1"/>
  <c r="J173" i="1"/>
  <c r="K173" i="1"/>
  <c r="G174" i="1"/>
  <c r="H174" i="1"/>
  <c r="I174" i="1"/>
  <c r="J174" i="1"/>
  <c r="K174" i="1"/>
  <c r="G175" i="1"/>
  <c r="H175" i="1"/>
  <c r="I175" i="1"/>
  <c r="J175" i="1"/>
  <c r="K175" i="1"/>
  <c r="G176" i="1"/>
  <c r="H176" i="1"/>
  <c r="I176" i="1"/>
  <c r="J176" i="1"/>
  <c r="K176" i="1"/>
  <c r="G177" i="1"/>
  <c r="H177" i="1"/>
  <c r="I177" i="1"/>
  <c r="J177" i="1"/>
  <c r="K177" i="1"/>
  <c r="G178" i="1"/>
  <c r="H178" i="1"/>
  <c r="I178" i="1"/>
  <c r="J178" i="1"/>
  <c r="K178" i="1"/>
  <c r="G179" i="1"/>
  <c r="H179" i="1"/>
  <c r="I179" i="1"/>
  <c r="J179" i="1"/>
  <c r="K179" i="1"/>
  <c r="G180" i="1"/>
  <c r="H180" i="1"/>
  <c r="I180" i="1"/>
  <c r="J180" i="1"/>
  <c r="K180" i="1"/>
  <c r="G181" i="1"/>
  <c r="H181" i="1"/>
  <c r="I181" i="1"/>
  <c r="J181" i="1"/>
  <c r="K181" i="1"/>
  <c r="G182" i="1"/>
  <c r="H182" i="1"/>
  <c r="I182" i="1"/>
  <c r="J182" i="1"/>
  <c r="K182" i="1"/>
  <c r="G183" i="1"/>
  <c r="H183" i="1"/>
  <c r="I183" i="1"/>
  <c r="J183" i="1"/>
  <c r="K183" i="1"/>
  <c r="G184" i="1"/>
  <c r="H184" i="1"/>
  <c r="I184" i="1"/>
  <c r="J184" i="1"/>
  <c r="K184" i="1"/>
  <c r="G185" i="1"/>
  <c r="H185" i="1"/>
  <c r="I185" i="1"/>
  <c r="J185" i="1"/>
  <c r="K185" i="1"/>
  <c r="G186" i="1"/>
  <c r="H186" i="1"/>
  <c r="I186" i="1"/>
  <c r="J186" i="1"/>
  <c r="K186" i="1"/>
  <c r="G187" i="1"/>
  <c r="H187" i="1"/>
  <c r="I187" i="1"/>
  <c r="J187" i="1"/>
  <c r="K187" i="1"/>
  <c r="G188" i="1"/>
  <c r="H188" i="1"/>
  <c r="I188" i="1"/>
  <c r="J188" i="1"/>
  <c r="K188" i="1"/>
  <c r="G189" i="1"/>
  <c r="H189" i="1"/>
  <c r="I189" i="1"/>
  <c r="J189" i="1"/>
  <c r="K189" i="1"/>
  <c r="G190" i="1"/>
  <c r="H190" i="1"/>
  <c r="I190" i="1"/>
  <c r="J190" i="1"/>
  <c r="K190" i="1"/>
  <c r="G191" i="1"/>
  <c r="H191" i="1"/>
  <c r="I191" i="1"/>
  <c r="J191" i="1"/>
  <c r="K191" i="1"/>
  <c r="G192" i="1"/>
  <c r="H192" i="1"/>
  <c r="I192" i="1"/>
  <c r="J192" i="1"/>
  <c r="K192" i="1"/>
  <c r="G193" i="1"/>
  <c r="H193" i="1"/>
  <c r="I193" i="1"/>
  <c r="J193" i="1"/>
  <c r="K193" i="1"/>
  <c r="G194" i="1"/>
  <c r="H194" i="1"/>
  <c r="I194" i="1"/>
  <c r="J194" i="1"/>
  <c r="K194" i="1"/>
  <c r="G195" i="1"/>
  <c r="H195" i="1"/>
  <c r="I195" i="1"/>
  <c r="J195" i="1"/>
  <c r="K195" i="1"/>
  <c r="G196" i="1"/>
  <c r="H196" i="1"/>
  <c r="I196" i="1"/>
  <c r="J196" i="1"/>
  <c r="K196" i="1"/>
  <c r="G197" i="1"/>
  <c r="H197" i="1"/>
  <c r="I197" i="1"/>
  <c r="J197" i="1"/>
  <c r="K197" i="1"/>
  <c r="G198" i="1"/>
  <c r="H198" i="1"/>
  <c r="I198" i="1"/>
  <c r="J198" i="1"/>
  <c r="K198" i="1"/>
  <c r="G199" i="1"/>
  <c r="H199" i="1"/>
  <c r="I199" i="1"/>
  <c r="J199" i="1"/>
  <c r="K199" i="1"/>
  <c r="G200" i="1"/>
  <c r="H200" i="1"/>
  <c r="I200" i="1"/>
  <c r="J200" i="1"/>
  <c r="K200" i="1"/>
  <c r="G201" i="1"/>
  <c r="H201" i="1"/>
  <c r="I201" i="1"/>
  <c r="J201" i="1"/>
  <c r="K201" i="1"/>
  <c r="G202" i="1"/>
  <c r="H202" i="1"/>
  <c r="I202" i="1"/>
  <c r="J202" i="1"/>
  <c r="K202" i="1"/>
  <c r="G203" i="1"/>
  <c r="H203" i="1"/>
  <c r="I203" i="1"/>
  <c r="J203" i="1"/>
  <c r="K203" i="1"/>
  <c r="G204" i="1"/>
  <c r="H204" i="1"/>
  <c r="I204" i="1"/>
  <c r="J204" i="1"/>
  <c r="K204" i="1"/>
  <c r="G205" i="1"/>
  <c r="H205" i="1"/>
  <c r="I205" i="1"/>
  <c r="J205" i="1"/>
  <c r="K205" i="1"/>
  <c r="G206" i="1"/>
  <c r="H206" i="1"/>
  <c r="I206" i="1"/>
  <c r="J206" i="1"/>
  <c r="K206" i="1"/>
  <c r="G207" i="1"/>
  <c r="H207" i="1"/>
  <c r="I207" i="1"/>
  <c r="J207" i="1"/>
  <c r="K207" i="1"/>
  <c r="G208" i="1"/>
  <c r="H208" i="1"/>
  <c r="I208" i="1"/>
  <c r="J208" i="1"/>
  <c r="K208" i="1"/>
  <c r="G209" i="1"/>
  <c r="H209" i="1"/>
  <c r="I209" i="1"/>
  <c r="J209" i="1"/>
  <c r="K209" i="1"/>
  <c r="G210" i="1"/>
  <c r="H210" i="1"/>
  <c r="I210" i="1"/>
  <c r="J210" i="1"/>
  <c r="K210" i="1"/>
  <c r="G211" i="1"/>
  <c r="H211" i="1"/>
  <c r="I211" i="1"/>
  <c r="J211" i="1"/>
  <c r="K211" i="1"/>
  <c r="G212" i="1"/>
  <c r="H212" i="1"/>
  <c r="I212" i="1"/>
  <c r="J212" i="1"/>
  <c r="K212" i="1"/>
  <c r="G213" i="1"/>
  <c r="H213" i="1"/>
  <c r="I213" i="1"/>
  <c r="J213" i="1"/>
  <c r="K213" i="1"/>
  <c r="G214" i="1"/>
  <c r="H214" i="1"/>
  <c r="I214" i="1"/>
  <c r="J214" i="1"/>
  <c r="K214" i="1"/>
  <c r="G215" i="1"/>
  <c r="H215" i="1"/>
  <c r="I215" i="1"/>
  <c r="J215" i="1"/>
  <c r="K215" i="1"/>
  <c r="G216" i="1"/>
  <c r="H216" i="1"/>
  <c r="I216" i="1"/>
  <c r="J216" i="1"/>
  <c r="K216" i="1"/>
  <c r="G217" i="1"/>
  <c r="H217" i="1"/>
  <c r="I217" i="1"/>
  <c r="J217" i="1"/>
  <c r="K217" i="1"/>
  <c r="G218" i="1"/>
  <c r="H218" i="1"/>
  <c r="I218" i="1"/>
  <c r="J218" i="1"/>
  <c r="K218" i="1"/>
  <c r="G219" i="1"/>
  <c r="H219" i="1"/>
  <c r="I219" i="1"/>
  <c r="J219" i="1"/>
  <c r="K219" i="1"/>
  <c r="G220" i="1"/>
  <c r="H220" i="1"/>
  <c r="I220" i="1"/>
  <c r="J220" i="1"/>
  <c r="K220" i="1"/>
  <c r="G221" i="1"/>
  <c r="H221" i="1"/>
  <c r="I221" i="1"/>
  <c r="J221" i="1"/>
  <c r="K221" i="1"/>
  <c r="G222" i="1"/>
  <c r="H222" i="1"/>
  <c r="I222" i="1"/>
  <c r="J222" i="1"/>
  <c r="K222" i="1"/>
  <c r="G223" i="1"/>
  <c r="H223" i="1"/>
  <c r="I223" i="1"/>
  <c r="J223" i="1"/>
  <c r="K223" i="1"/>
  <c r="G224" i="1"/>
  <c r="H224" i="1"/>
  <c r="I224" i="1"/>
  <c r="J224" i="1"/>
  <c r="K224" i="1"/>
  <c r="G225" i="1"/>
  <c r="H225" i="1"/>
  <c r="I225" i="1"/>
  <c r="J225" i="1"/>
  <c r="K225" i="1"/>
  <c r="G226" i="1"/>
  <c r="H226" i="1"/>
  <c r="I226" i="1"/>
  <c r="J226" i="1"/>
  <c r="K226" i="1"/>
  <c r="G227" i="1"/>
  <c r="H227" i="1"/>
  <c r="I227" i="1"/>
  <c r="J227" i="1"/>
  <c r="K227" i="1"/>
  <c r="G228" i="1"/>
  <c r="H228" i="1"/>
  <c r="I228" i="1"/>
  <c r="J228" i="1"/>
  <c r="K228" i="1"/>
  <c r="G229" i="1"/>
  <c r="H229" i="1"/>
  <c r="I229" i="1"/>
  <c r="J229" i="1"/>
  <c r="K229" i="1"/>
  <c r="G230" i="1"/>
  <c r="H230" i="1"/>
  <c r="I230" i="1"/>
  <c r="J230" i="1"/>
  <c r="K230" i="1"/>
  <c r="G231" i="1"/>
  <c r="H231" i="1"/>
  <c r="I231" i="1"/>
  <c r="J231" i="1"/>
  <c r="K231" i="1"/>
  <c r="G232" i="1"/>
  <c r="H232" i="1"/>
  <c r="I232" i="1"/>
  <c r="J232" i="1"/>
  <c r="K232" i="1"/>
  <c r="G233" i="1"/>
  <c r="H233" i="1"/>
  <c r="I233" i="1"/>
  <c r="J233" i="1"/>
  <c r="K233" i="1"/>
  <c r="G234" i="1"/>
  <c r="H234" i="1"/>
  <c r="I234" i="1"/>
  <c r="J234" i="1"/>
  <c r="K234" i="1"/>
  <c r="G235" i="1"/>
  <c r="H235" i="1"/>
  <c r="I235" i="1"/>
  <c r="J235" i="1"/>
  <c r="K235" i="1"/>
  <c r="G236" i="1"/>
  <c r="H236" i="1"/>
  <c r="I236" i="1"/>
  <c r="J236" i="1"/>
  <c r="K236" i="1"/>
  <c r="G237" i="1"/>
  <c r="H237" i="1"/>
  <c r="I237" i="1"/>
  <c r="J237" i="1"/>
  <c r="K237" i="1"/>
  <c r="G238" i="1"/>
  <c r="H238" i="1"/>
  <c r="I238" i="1"/>
  <c r="J238" i="1"/>
  <c r="K238" i="1"/>
  <c r="G239" i="1"/>
  <c r="H239" i="1"/>
  <c r="I239" i="1"/>
  <c r="J239" i="1"/>
  <c r="K239" i="1"/>
  <c r="G240" i="1"/>
  <c r="H240" i="1"/>
  <c r="I240" i="1"/>
  <c r="J240" i="1"/>
  <c r="K240" i="1"/>
  <c r="G241" i="1"/>
  <c r="H241" i="1"/>
  <c r="I241" i="1"/>
  <c r="J241" i="1"/>
  <c r="K241" i="1"/>
  <c r="G242" i="1"/>
  <c r="H242" i="1"/>
  <c r="I242" i="1"/>
  <c r="J242" i="1"/>
  <c r="K242" i="1"/>
  <c r="G243" i="1"/>
  <c r="H243" i="1"/>
  <c r="I243" i="1"/>
  <c r="J243" i="1"/>
  <c r="K243" i="1"/>
  <c r="G244" i="1"/>
  <c r="H244" i="1"/>
  <c r="I244" i="1"/>
  <c r="J244" i="1"/>
  <c r="K244" i="1"/>
  <c r="G245" i="1"/>
  <c r="H245" i="1"/>
  <c r="I245" i="1"/>
  <c r="J245" i="1"/>
  <c r="K245" i="1"/>
  <c r="G246" i="1"/>
  <c r="H246" i="1"/>
  <c r="I246" i="1"/>
  <c r="J246" i="1"/>
  <c r="K246" i="1"/>
  <c r="G247" i="1"/>
  <c r="H247" i="1"/>
  <c r="I247" i="1"/>
  <c r="J247" i="1"/>
  <c r="K247" i="1"/>
  <c r="G248" i="1"/>
  <c r="H248" i="1"/>
  <c r="I248" i="1"/>
  <c r="J248" i="1"/>
  <c r="K248" i="1"/>
  <c r="G249" i="1"/>
  <c r="H249" i="1"/>
  <c r="I249" i="1"/>
  <c r="J249" i="1"/>
  <c r="K249" i="1"/>
  <c r="G250" i="1"/>
  <c r="H250" i="1"/>
  <c r="I250" i="1"/>
  <c r="J250" i="1"/>
  <c r="K250" i="1"/>
  <c r="G251" i="1"/>
  <c r="H251" i="1"/>
  <c r="I251" i="1"/>
  <c r="J251" i="1"/>
  <c r="K251" i="1"/>
  <c r="G252" i="1"/>
  <c r="H252" i="1"/>
  <c r="I252" i="1"/>
  <c r="J252" i="1"/>
  <c r="K252" i="1"/>
  <c r="G253" i="1"/>
  <c r="H253" i="1"/>
  <c r="I253" i="1"/>
  <c r="J253" i="1"/>
  <c r="K253" i="1"/>
  <c r="G254" i="1"/>
  <c r="H254" i="1"/>
  <c r="I254" i="1"/>
  <c r="J254" i="1"/>
  <c r="K254" i="1"/>
  <c r="G255" i="1"/>
  <c r="H255" i="1"/>
  <c r="I255" i="1"/>
  <c r="J255" i="1"/>
  <c r="K255" i="1"/>
  <c r="G256" i="1"/>
  <c r="H256" i="1"/>
  <c r="I256" i="1"/>
  <c r="J256" i="1"/>
  <c r="K256" i="1"/>
  <c r="G257" i="1"/>
  <c r="H257" i="1"/>
  <c r="I257" i="1"/>
  <c r="J257" i="1"/>
  <c r="K257" i="1"/>
  <c r="G258" i="1"/>
  <c r="H258" i="1"/>
  <c r="I258" i="1"/>
  <c r="J258" i="1"/>
  <c r="K258" i="1"/>
  <c r="G259" i="1"/>
  <c r="H259" i="1"/>
  <c r="I259" i="1"/>
  <c r="J259" i="1"/>
  <c r="K259" i="1"/>
  <c r="G260" i="1"/>
  <c r="H260" i="1"/>
  <c r="I260" i="1"/>
  <c r="J260" i="1"/>
  <c r="K260" i="1"/>
  <c r="G261" i="1"/>
  <c r="H261" i="1"/>
  <c r="I261" i="1"/>
  <c r="J261" i="1"/>
  <c r="K261" i="1"/>
  <c r="G262" i="1"/>
  <c r="H262" i="1"/>
  <c r="I262" i="1"/>
  <c r="J262" i="1"/>
  <c r="K262" i="1"/>
  <c r="G263" i="1"/>
  <c r="H263" i="1"/>
  <c r="I263" i="1"/>
  <c r="J263" i="1"/>
  <c r="K263" i="1"/>
  <c r="G264" i="1"/>
  <c r="H264" i="1"/>
  <c r="I264" i="1"/>
  <c r="J264" i="1"/>
  <c r="K264" i="1"/>
  <c r="G265" i="1"/>
  <c r="H265" i="1"/>
  <c r="I265" i="1"/>
  <c r="J265" i="1"/>
  <c r="K265" i="1"/>
  <c r="G266" i="1"/>
  <c r="H266" i="1"/>
  <c r="I266" i="1"/>
  <c r="J266" i="1"/>
  <c r="K266" i="1"/>
  <c r="G267" i="1"/>
  <c r="H267" i="1"/>
  <c r="I267" i="1"/>
  <c r="J267" i="1"/>
  <c r="K267" i="1"/>
  <c r="G268" i="1"/>
  <c r="H268" i="1"/>
  <c r="I268" i="1"/>
  <c r="J268" i="1"/>
  <c r="K268" i="1"/>
  <c r="G269" i="1"/>
  <c r="H269" i="1"/>
  <c r="I269" i="1"/>
  <c r="J269" i="1"/>
  <c r="K269" i="1"/>
  <c r="G270" i="1"/>
  <c r="H270" i="1"/>
  <c r="I270" i="1"/>
  <c r="J270" i="1"/>
  <c r="K270" i="1"/>
  <c r="G271" i="1"/>
  <c r="H271" i="1"/>
  <c r="I271" i="1"/>
  <c r="J271" i="1"/>
  <c r="K271" i="1"/>
  <c r="G272" i="1"/>
  <c r="H272" i="1"/>
  <c r="I272" i="1"/>
  <c r="J272" i="1"/>
  <c r="K272" i="1"/>
  <c r="G273" i="1"/>
  <c r="H273" i="1"/>
  <c r="I273" i="1"/>
  <c r="J273" i="1"/>
  <c r="K273" i="1"/>
  <c r="G274" i="1"/>
  <c r="H274" i="1"/>
  <c r="I274" i="1"/>
  <c r="J274" i="1"/>
  <c r="K274" i="1"/>
  <c r="G275" i="1"/>
  <c r="H275" i="1"/>
  <c r="I275" i="1"/>
  <c r="J275" i="1"/>
  <c r="K275" i="1"/>
  <c r="G276" i="1"/>
  <c r="H276" i="1"/>
  <c r="I276" i="1"/>
  <c r="J276" i="1"/>
  <c r="K276" i="1"/>
  <c r="G277" i="1"/>
  <c r="H277" i="1"/>
  <c r="I277" i="1"/>
  <c r="J277" i="1"/>
  <c r="K277" i="1"/>
  <c r="G278" i="1"/>
  <c r="H278" i="1"/>
  <c r="I278" i="1"/>
  <c r="J278" i="1"/>
  <c r="K278" i="1"/>
  <c r="G279" i="1"/>
  <c r="H279" i="1"/>
  <c r="I279" i="1"/>
  <c r="J279" i="1"/>
  <c r="K279" i="1"/>
  <c r="G280" i="1"/>
  <c r="H280" i="1"/>
  <c r="I280" i="1"/>
  <c r="J280" i="1"/>
  <c r="K280" i="1"/>
  <c r="G281" i="1"/>
  <c r="H281" i="1"/>
  <c r="I281" i="1"/>
  <c r="J281" i="1"/>
  <c r="K281" i="1"/>
  <c r="G282" i="1"/>
  <c r="H282" i="1"/>
  <c r="I282" i="1"/>
  <c r="J282" i="1"/>
  <c r="K282" i="1"/>
  <c r="G283" i="1"/>
  <c r="H283" i="1"/>
  <c r="I283" i="1"/>
  <c r="J283" i="1"/>
  <c r="K283" i="1"/>
  <c r="G284" i="1"/>
  <c r="H284" i="1"/>
  <c r="I284" i="1"/>
  <c r="J284" i="1"/>
  <c r="K284" i="1"/>
  <c r="G285" i="1"/>
  <c r="H285" i="1"/>
  <c r="I285" i="1"/>
  <c r="J285" i="1"/>
  <c r="K285" i="1"/>
  <c r="G286" i="1"/>
  <c r="H286" i="1"/>
  <c r="I286" i="1"/>
  <c r="J286" i="1"/>
  <c r="K286" i="1"/>
  <c r="G287" i="1"/>
  <c r="H287" i="1"/>
  <c r="I287" i="1"/>
  <c r="J287" i="1"/>
  <c r="K287" i="1"/>
  <c r="G288" i="1"/>
  <c r="H288" i="1"/>
  <c r="I288" i="1"/>
  <c r="J288" i="1"/>
  <c r="K288" i="1"/>
  <c r="G289" i="1"/>
  <c r="H289" i="1"/>
  <c r="I289" i="1"/>
  <c r="J289" i="1"/>
  <c r="K289" i="1"/>
  <c r="G290" i="1"/>
  <c r="H290" i="1"/>
  <c r="I290" i="1"/>
  <c r="J290" i="1"/>
  <c r="K290" i="1"/>
  <c r="G291" i="1"/>
  <c r="H291" i="1"/>
  <c r="I291" i="1"/>
  <c r="J291" i="1"/>
  <c r="K291" i="1"/>
  <c r="G292" i="1"/>
  <c r="H292" i="1"/>
  <c r="I292" i="1"/>
  <c r="J292" i="1"/>
  <c r="K292" i="1"/>
  <c r="G293" i="1"/>
  <c r="H293" i="1"/>
  <c r="I293" i="1"/>
  <c r="J293" i="1"/>
  <c r="K293" i="1"/>
  <c r="G294" i="1"/>
  <c r="H294" i="1"/>
  <c r="I294" i="1"/>
  <c r="J294" i="1"/>
  <c r="K294" i="1"/>
  <c r="G295" i="1"/>
  <c r="H295" i="1"/>
  <c r="I295" i="1"/>
  <c r="J295" i="1"/>
  <c r="K295" i="1"/>
  <c r="G296" i="1"/>
  <c r="H296" i="1"/>
  <c r="I296" i="1"/>
  <c r="J296" i="1"/>
  <c r="K296" i="1"/>
  <c r="G297" i="1"/>
  <c r="H297" i="1"/>
  <c r="I297" i="1"/>
  <c r="J297" i="1"/>
  <c r="K297" i="1"/>
  <c r="G298" i="1"/>
  <c r="H298" i="1"/>
  <c r="I298" i="1"/>
  <c r="J298" i="1"/>
  <c r="K298" i="1"/>
  <c r="G299" i="1"/>
  <c r="H299" i="1"/>
  <c r="I299" i="1"/>
  <c r="J299" i="1"/>
  <c r="K299" i="1"/>
  <c r="G300" i="1"/>
  <c r="H300" i="1"/>
  <c r="I300" i="1"/>
  <c r="J300" i="1"/>
  <c r="K300" i="1"/>
  <c r="G301" i="1"/>
  <c r="H301" i="1"/>
  <c r="I301" i="1"/>
  <c r="J301" i="1"/>
  <c r="K301" i="1"/>
  <c r="G302" i="1"/>
  <c r="H302" i="1"/>
  <c r="I302" i="1"/>
  <c r="J302" i="1"/>
  <c r="K302" i="1"/>
  <c r="G303" i="1"/>
  <c r="H303" i="1"/>
  <c r="I303" i="1"/>
  <c r="J303" i="1"/>
  <c r="K303" i="1"/>
  <c r="G304" i="1"/>
  <c r="H304" i="1"/>
  <c r="I304" i="1"/>
  <c r="J304" i="1"/>
  <c r="K304" i="1"/>
  <c r="G305" i="1"/>
  <c r="H305" i="1"/>
  <c r="I305" i="1"/>
  <c r="J305" i="1"/>
  <c r="K305" i="1"/>
  <c r="G306" i="1"/>
  <c r="H306" i="1"/>
  <c r="I306" i="1"/>
  <c r="J306" i="1"/>
  <c r="K306" i="1"/>
  <c r="G307" i="1"/>
  <c r="H307" i="1"/>
  <c r="I307" i="1"/>
  <c r="J307" i="1"/>
  <c r="K307" i="1"/>
  <c r="G308" i="1"/>
  <c r="H308" i="1"/>
  <c r="I308" i="1"/>
  <c r="J308" i="1"/>
  <c r="K308" i="1"/>
  <c r="G309" i="1"/>
  <c r="H309" i="1"/>
  <c r="I309" i="1"/>
  <c r="J309" i="1"/>
  <c r="K309" i="1"/>
  <c r="G310" i="1"/>
  <c r="H310" i="1"/>
  <c r="I310" i="1"/>
  <c r="J310" i="1"/>
  <c r="K310" i="1"/>
  <c r="G311" i="1"/>
  <c r="H311" i="1"/>
  <c r="I311" i="1"/>
  <c r="J311" i="1"/>
  <c r="K311" i="1"/>
  <c r="G312" i="1"/>
  <c r="H312" i="1"/>
  <c r="I312" i="1"/>
  <c r="J312" i="1"/>
  <c r="K312" i="1"/>
  <c r="G313" i="1"/>
  <c r="H313" i="1"/>
  <c r="I313" i="1"/>
  <c r="J313" i="1"/>
  <c r="K313" i="1"/>
  <c r="G314" i="1"/>
  <c r="H314" i="1"/>
  <c r="I314" i="1"/>
  <c r="J314" i="1"/>
  <c r="K314" i="1"/>
  <c r="G315" i="1"/>
  <c r="H315" i="1"/>
  <c r="I315" i="1"/>
  <c r="J315" i="1"/>
  <c r="K315" i="1"/>
  <c r="G316" i="1"/>
  <c r="H316" i="1"/>
  <c r="I316" i="1"/>
  <c r="J316" i="1"/>
  <c r="K316" i="1"/>
  <c r="G317" i="1"/>
  <c r="H317" i="1"/>
  <c r="I317" i="1"/>
  <c r="J317" i="1"/>
  <c r="K317" i="1"/>
  <c r="G318" i="1"/>
  <c r="H318" i="1"/>
  <c r="I318" i="1"/>
  <c r="J318" i="1"/>
  <c r="K318" i="1"/>
  <c r="G319" i="1"/>
  <c r="H319" i="1"/>
  <c r="I319" i="1"/>
  <c r="J319" i="1"/>
  <c r="K319" i="1"/>
  <c r="G320" i="1"/>
  <c r="H320" i="1"/>
  <c r="I320" i="1"/>
  <c r="J320" i="1"/>
  <c r="K320" i="1"/>
  <c r="G321" i="1"/>
  <c r="H321" i="1"/>
  <c r="I321" i="1"/>
  <c r="J321" i="1"/>
  <c r="K321" i="1"/>
  <c r="G322" i="1"/>
  <c r="H322" i="1"/>
  <c r="I322" i="1"/>
  <c r="J322" i="1"/>
  <c r="K322" i="1"/>
  <c r="G323" i="1"/>
  <c r="H323" i="1"/>
  <c r="I323" i="1"/>
  <c r="J323" i="1"/>
  <c r="K323" i="1"/>
  <c r="G324" i="1"/>
  <c r="H324" i="1"/>
  <c r="I324" i="1"/>
  <c r="J324" i="1"/>
  <c r="K324" i="1"/>
  <c r="G325" i="1"/>
  <c r="H325" i="1"/>
  <c r="I325" i="1"/>
  <c r="J325" i="1"/>
  <c r="K325" i="1"/>
  <c r="G326" i="1"/>
  <c r="H326" i="1"/>
  <c r="I326" i="1"/>
  <c r="J326" i="1"/>
  <c r="K326" i="1"/>
  <c r="G327" i="1"/>
  <c r="H327" i="1"/>
  <c r="I327" i="1"/>
  <c r="J327" i="1"/>
  <c r="K327" i="1"/>
  <c r="G328" i="1"/>
  <c r="H328" i="1"/>
  <c r="I328" i="1"/>
  <c r="J328" i="1"/>
  <c r="K328" i="1"/>
  <c r="G329" i="1"/>
  <c r="H329" i="1"/>
  <c r="I329" i="1"/>
  <c r="J329" i="1"/>
  <c r="K329" i="1"/>
  <c r="G330" i="1"/>
  <c r="H330" i="1"/>
  <c r="I330" i="1"/>
  <c r="J330" i="1"/>
  <c r="K330" i="1"/>
  <c r="G331" i="1"/>
  <c r="H331" i="1"/>
  <c r="I331" i="1"/>
  <c r="J331" i="1"/>
  <c r="K331" i="1"/>
  <c r="G332" i="1"/>
  <c r="H332" i="1"/>
  <c r="I332" i="1"/>
  <c r="J332" i="1"/>
  <c r="K332" i="1"/>
  <c r="G333" i="1"/>
  <c r="H333" i="1"/>
  <c r="I333" i="1"/>
  <c r="J333" i="1"/>
  <c r="K333" i="1"/>
  <c r="G334" i="1"/>
  <c r="H334" i="1"/>
  <c r="I334" i="1"/>
  <c r="J334" i="1"/>
  <c r="K334" i="1"/>
  <c r="G335" i="1"/>
  <c r="H335" i="1"/>
  <c r="I335" i="1"/>
  <c r="J335" i="1"/>
  <c r="K335" i="1"/>
  <c r="G336" i="1"/>
  <c r="H336" i="1"/>
  <c r="I336" i="1"/>
  <c r="J336" i="1"/>
  <c r="K336" i="1"/>
  <c r="G337" i="1"/>
  <c r="H337" i="1"/>
  <c r="I337" i="1"/>
  <c r="J337" i="1"/>
  <c r="K337" i="1"/>
  <c r="G338" i="1"/>
  <c r="H338" i="1"/>
  <c r="I338" i="1"/>
  <c r="J338" i="1"/>
  <c r="K338" i="1"/>
  <c r="G339" i="1"/>
  <c r="H339" i="1"/>
  <c r="I339" i="1"/>
  <c r="J339" i="1"/>
  <c r="K339" i="1"/>
  <c r="G340" i="1"/>
  <c r="H340" i="1"/>
  <c r="I340" i="1"/>
  <c r="J340" i="1"/>
  <c r="K340" i="1"/>
  <c r="G341" i="1"/>
  <c r="H341" i="1"/>
  <c r="I341" i="1"/>
  <c r="J341" i="1"/>
  <c r="K341" i="1"/>
  <c r="G342" i="1"/>
  <c r="H342" i="1"/>
  <c r="I342" i="1"/>
  <c r="J342" i="1"/>
  <c r="K342" i="1"/>
  <c r="G343" i="1"/>
  <c r="H343" i="1"/>
  <c r="I343" i="1"/>
  <c r="J343" i="1"/>
  <c r="K343" i="1"/>
  <c r="G344" i="1"/>
  <c r="H344" i="1"/>
  <c r="I344" i="1"/>
  <c r="J344" i="1"/>
  <c r="K344" i="1"/>
  <c r="G345" i="1"/>
  <c r="H345" i="1"/>
  <c r="I345" i="1"/>
  <c r="J345" i="1"/>
  <c r="K345" i="1"/>
  <c r="G346" i="1"/>
  <c r="H346" i="1"/>
  <c r="I346" i="1"/>
  <c r="J346" i="1"/>
  <c r="K346" i="1"/>
  <c r="G347" i="1"/>
  <c r="H347" i="1"/>
  <c r="I347" i="1"/>
  <c r="J347" i="1"/>
  <c r="K347" i="1"/>
  <c r="G348" i="1"/>
  <c r="H348" i="1"/>
  <c r="I348" i="1"/>
  <c r="J348" i="1"/>
  <c r="K348" i="1"/>
  <c r="G349" i="1"/>
  <c r="H349" i="1"/>
  <c r="I349" i="1"/>
  <c r="J349" i="1"/>
  <c r="K349" i="1"/>
  <c r="G350" i="1"/>
  <c r="H350" i="1"/>
  <c r="I350" i="1"/>
  <c r="J350" i="1"/>
  <c r="K350" i="1"/>
  <c r="G351" i="1"/>
  <c r="H351" i="1"/>
  <c r="I351" i="1"/>
  <c r="J351" i="1"/>
  <c r="K351" i="1"/>
  <c r="G352" i="1"/>
  <c r="H352" i="1"/>
  <c r="I352" i="1"/>
  <c r="J352" i="1"/>
  <c r="K352" i="1"/>
  <c r="G353" i="1"/>
  <c r="H353" i="1"/>
  <c r="I353" i="1"/>
  <c r="J353" i="1"/>
  <c r="K353" i="1"/>
  <c r="G354" i="1"/>
  <c r="H354" i="1"/>
  <c r="I354" i="1"/>
  <c r="J354" i="1"/>
  <c r="K354" i="1"/>
  <c r="G355" i="1"/>
  <c r="H355" i="1"/>
  <c r="I355" i="1"/>
  <c r="J355" i="1"/>
  <c r="K355" i="1"/>
  <c r="G356" i="1"/>
  <c r="H356" i="1"/>
  <c r="I356" i="1"/>
  <c r="J356" i="1"/>
  <c r="K356" i="1"/>
  <c r="G357" i="1"/>
  <c r="H357" i="1"/>
  <c r="I357" i="1"/>
  <c r="J357" i="1"/>
  <c r="K357" i="1"/>
  <c r="G358" i="1"/>
  <c r="H358" i="1"/>
  <c r="I358" i="1"/>
  <c r="J358" i="1"/>
  <c r="K358" i="1"/>
  <c r="G359" i="1"/>
  <c r="H359" i="1"/>
  <c r="I359" i="1"/>
  <c r="J359" i="1"/>
  <c r="K359" i="1"/>
  <c r="G360" i="1"/>
  <c r="H360" i="1"/>
  <c r="I360" i="1"/>
  <c r="J360" i="1"/>
  <c r="K360" i="1"/>
  <c r="G361" i="1"/>
  <c r="H361" i="1"/>
  <c r="I361" i="1"/>
  <c r="J361" i="1"/>
  <c r="K361" i="1"/>
  <c r="G362" i="1"/>
  <c r="H362" i="1"/>
  <c r="I362" i="1"/>
  <c r="J362" i="1"/>
  <c r="K362" i="1"/>
  <c r="G363" i="1"/>
  <c r="H363" i="1"/>
  <c r="I363" i="1"/>
  <c r="J363" i="1"/>
  <c r="K363" i="1"/>
  <c r="G364" i="1"/>
  <c r="H364" i="1"/>
  <c r="I364" i="1"/>
  <c r="J364" i="1"/>
  <c r="K364" i="1"/>
  <c r="G365" i="1"/>
  <c r="H365" i="1"/>
  <c r="I365" i="1"/>
  <c r="J365" i="1"/>
  <c r="K365" i="1"/>
  <c r="G366" i="1"/>
  <c r="H366" i="1"/>
  <c r="I366" i="1"/>
  <c r="J366" i="1"/>
  <c r="K366" i="1"/>
  <c r="G367" i="1"/>
  <c r="H367" i="1"/>
  <c r="I367" i="1"/>
  <c r="J367" i="1"/>
  <c r="K367" i="1"/>
  <c r="G368" i="1"/>
  <c r="H368" i="1"/>
  <c r="I368" i="1"/>
  <c r="J368" i="1"/>
  <c r="K368" i="1"/>
  <c r="G369" i="1"/>
  <c r="H369" i="1"/>
  <c r="I369" i="1"/>
  <c r="J369" i="1"/>
  <c r="K369" i="1"/>
  <c r="G370" i="1"/>
  <c r="H370" i="1"/>
  <c r="I370" i="1"/>
  <c r="J370" i="1"/>
  <c r="K370" i="1"/>
  <c r="G371" i="1"/>
  <c r="H371" i="1"/>
  <c r="I371" i="1"/>
  <c r="J371" i="1"/>
  <c r="K371" i="1"/>
  <c r="G372" i="1"/>
  <c r="H372" i="1"/>
  <c r="I372" i="1"/>
  <c r="J372" i="1"/>
  <c r="K372" i="1"/>
  <c r="G373" i="1"/>
  <c r="H373" i="1"/>
  <c r="I373" i="1"/>
  <c r="J373" i="1"/>
  <c r="K373" i="1"/>
  <c r="G374" i="1"/>
  <c r="H374" i="1"/>
  <c r="I374" i="1"/>
  <c r="J374" i="1"/>
  <c r="K374" i="1"/>
  <c r="G375" i="1"/>
  <c r="H375" i="1"/>
  <c r="I375" i="1"/>
  <c r="J375" i="1"/>
  <c r="K375" i="1"/>
  <c r="G376" i="1"/>
  <c r="H376" i="1"/>
  <c r="I376" i="1"/>
  <c r="J376" i="1"/>
  <c r="K376" i="1"/>
  <c r="G377" i="1"/>
  <c r="H377" i="1"/>
  <c r="I377" i="1"/>
  <c r="J377" i="1"/>
  <c r="K377" i="1"/>
  <c r="G378" i="1"/>
  <c r="H378" i="1"/>
  <c r="I378" i="1"/>
  <c r="J378" i="1"/>
  <c r="K378" i="1"/>
  <c r="G379" i="1"/>
  <c r="H379" i="1"/>
  <c r="I379" i="1"/>
  <c r="J379" i="1"/>
  <c r="K379" i="1"/>
  <c r="G380" i="1"/>
  <c r="H380" i="1"/>
  <c r="I380" i="1"/>
  <c r="J380" i="1"/>
  <c r="K380" i="1"/>
  <c r="G381" i="1"/>
  <c r="H381" i="1"/>
  <c r="I381" i="1"/>
  <c r="J381" i="1"/>
  <c r="K381" i="1"/>
  <c r="G382" i="1"/>
  <c r="H382" i="1"/>
  <c r="I382" i="1"/>
  <c r="J382" i="1"/>
  <c r="K382" i="1"/>
  <c r="G383" i="1"/>
  <c r="H383" i="1"/>
  <c r="I383" i="1"/>
  <c r="J383" i="1"/>
  <c r="K383" i="1"/>
  <c r="G384" i="1"/>
  <c r="H384" i="1"/>
  <c r="I384" i="1"/>
  <c r="J384" i="1"/>
  <c r="K384" i="1"/>
  <c r="G385" i="1"/>
  <c r="H385" i="1"/>
  <c r="I385" i="1"/>
  <c r="J385" i="1"/>
  <c r="K385" i="1"/>
  <c r="G386" i="1"/>
  <c r="H386" i="1"/>
  <c r="I386" i="1"/>
  <c r="J386" i="1"/>
  <c r="K386" i="1"/>
  <c r="G387" i="1"/>
  <c r="H387" i="1"/>
  <c r="I387" i="1"/>
  <c r="J387" i="1"/>
  <c r="K387" i="1"/>
  <c r="G388" i="1"/>
  <c r="H388" i="1"/>
  <c r="I388" i="1"/>
  <c r="J388" i="1"/>
  <c r="K388" i="1"/>
  <c r="G389" i="1"/>
  <c r="H389" i="1"/>
  <c r="I389" i="1"/>
  <c r="J389" i="1"/>
  <c r="K389" i="1"/>
  <c r="G390" i="1"/>
  <c r="H390" i="1"/>
  <c r="I390" i="1"/>
  <c r="J390" i="1"/>
  <c r="K390" i="1"/>
  <c r="G391" i="1"/>
  <c r="H391" i="1"/>
  <c r="I391" i="1"/>
  <c r="J391" i="1"/>
  <c r="K391" i="1"/>
  <c r="G392" i="1"/>
  <c r="H392" i="1"/>
  <c r="I392" i="1"/>
  <c r="J392" i="1"/>
  <c r="K392" i="1"/>
  <c r="G393" i="1"/>
  <c r="H393" i="1"/>
  <c r="I393" i="1"/>
  <c r="J393" i="1"/>
  <c r="K393" i="1"/>
  <c r="G394" i="1"/>
  <c r="H394" i="1"/>
  <c r="I394" i="1"/>
  <c r="J394" i="1"/>
  <c r="K394" i="1"/>
  <c r="G395" i="1"/>
  <c r="H395" i="1"/>
  <c r="I395" i="1"/>
  <c r="J395" i="1"/>
  <c r="K395" i="1"/>
  <c r="G396" i="1"/>
  <c r="H396" i="1"/>
  <c r="I396" i="1"/>
  <c r="J396" i="1"/>
  <c r="K396" i="1"/>
  <c r="G397" i="1"/>
  <c r="H397" i="1"/>
  <c r="I397" i="1"/>
  <c r="J397" i="1"/>
  <c r="K397" i="1"/>
  <c r="G398" i="1"/>
  <c r="H398" i="1"/>
  <c r="I398" i="1"/>
  <c r="J398" i="1"/>
  <c r="K398" i="1"/>
  <c r="G399" i="1"/>
  <c r="H399" i="1"/>
  <c r="I399" i="1"/>
  <c r="J399" i="1"/>
  <c r="K399" i="1"/>
  <c r="G400" i="1"/>
  <c r="H400" i="1"/>
  <c r="I400" i="1"/>
  <c r="J400" i="1"/>
  <c r="K400" i="1"/>
  <c r="G401" i="1"/>
  <c r="H401" i="1"/>
  <c r="I401" i="1"/>
  <c r="J401" i="1"/>
  <c r="K401" i="1"/>
  <c r="G402" i="1"/>
  <c r="H402" i="1"/>
  <c r="I402" i="1"/>
  <c r="J402" i="1"/>
  <c r="K402" i="1"/>
  <c r="G403" i="1"/>
  <c r="H403" i="1"/>
  <c r="I403" i="1"/>
  <c r="J403" i="1"/>
  <c r="K403" i="1"/>
  <c r="G404" i="1"/>
  <c r="H404" i="1"/>
  <c r="I404" i="1"/>
  <c r="J404" i="1"/>
  <c r="K404" i="1"/>
  <c r="G405" i="1"/>
  <c r="H405" i="1"/>
  <c r="I405" i="1"/>
  <c r="J405" i="1"/>
  <c r="K405" i="1"/>
  <c r="G406" i="1"/>
  <c r="H406" i="1"/>
  <c r="I406" i="1"/>
  <c r="J406" i="1"/>
  <c r="K406" i="1"/>
  <c r="G407" i="1"/>
  <c r="H407" i="1"/>
  <c r="I407" i="1"/>
  <c r="J407" i="1"/>
  <c r="K407" i="1"/>
  <c r="G408" i="1"/>
  <c r="H408" i="1"/>
  <c r="I408" i="1"/>
  <c r="J408" i="1"/>
  <c r="K408" i="1"/>
  <c r="G409" i="1"/>
  <c r="H409" i="1"/>
  <c r="I409" i="1"/>
  <c r="J409" i="1"/>
  <c r="K409" i="1"/>
  <c r="G410" i="1"/>
  <c r="H410" i="1"/>
  <c r="I410" i="1"/>
  <c r="J410" i="1"/>
  <c r="K410" i="1"/>
  <c r="G411" i="1"/>
  <c r="H411" i="1"/>
  <c r="I411" i="1"/>
  <c r="J411" i="1"/>
  <c r="K411" i="1"/>
  <c r="G412" i="1"/>
  <c r="H412" i="1"/>
  <c r="I412" i="1"/>
  <c r="J412" i="1"/>
  <c r="K412" i="1"/>
  <c r="G413" i="1"/>
  <c r="H413" i="1"/>
  <c r="I413" i="1"/>
  <c r="J413" i="1"/>
  <c r="K413" i="1"/>
  <c r="G414" i="1"/>
  <c r="H414" i="1"/>
  <c r="I414" i="1"/>
  <c r="J414" i="1"/>
  <c r="K414" i="1"/>
  <c r="G415" i="1"/>
  <c r="H415" i="1"/>
  <c r="I415" i="1"/>
  <c r="J415" i="1"/>
  <c r="K415" i="1"/>
  <c r="G416" i="1"/>
  <c r="H416" i="1"/>
  <c r="I416" i="1"/>
  <c r="J416" i="1"/>
  <c r="K416" i="1"/>
  <c r="G417" i="1"/>
  <c r="H417" i="1"/>
  <c r="I417" i="1"/>
  <c r="J417" i="1"/>
  <c r="K417" i="1"/>
  <c r="G418" i="1"/>
  <c r="H418" i="1"/>
  <c r="I418" i="1"/>
  <c r="J418" i="1"/>
  <c r="K418" i="1"/>
  <c r="G419" i="1"/>
  <c r="H419" i="1"/>
  <c r="I419" i="1"/>
  <c r="J419" i="1"/>
  <c r="K419" i="1"/>
  <c r="G420" i="1"/>
  <c r="H420" i="1"/>
  <c r="I420" i="1"/>
  <c r="J420" i="1"/>
  <c r="K420" i="1"/>
  <c r="G421" i="1"/>
  <c r="H421" i="1"/>
  <c r="I421" i="1"/>
  <c r="J421" i="1"/>
  <c r="K421" i="1"/>
  <c r="G422" i="1"/>
  <c r="H422" i="1"/>
  <c r="I422" i="1"/>
  <c r="J422" i="1"/>
  <c r="K422" i="1"/>
  <c r="G423" i="1"/>
  <c r="H423" i="1"/>
  <c r="I423" i="1"/>
  <c r="J423" i="1"/>
  <c r="K423" i="1"/>
  <c r="G424" i="1"/>
  <c r="H424" i="1"/>
  <c r="I424" i="1"/>
  <c r="J424" i="1"/>
  <c r="K424" i="1"/>
  <c r="G425" i="1"/>
  <c r="H425" i="1"/>
  <c r="I425" i="1"/>
  <c r="J425" i="1"/>
  <c r="K425" i="1"/>
  <c r="G426" i="1"/>
  <c r="H426" i="1"/>
  <c r="I426" i="1"/>
  <c r="J426" i="1"/>
  <c r="K426" i="1"/>
  <c r="G427" i="1"/>
  <c r="H427" i="1"/>
  <c r="I427" i="1"/>
  <c r="J427" i="1"/>
  <c r="K427" i="1"/>
  <c r="G428" i="1"/>
  <c r="H428" i="1"/>
  <c r="I428" i="1"/>
  <c r="J428" i="1"/>
  <c r="K428" i="1"/>
  <c r="G429" i="1"/>
  <c r="H429" i="1"/>
  <c r="I429" i="1"/>
  <c r="J429" i="1"/>
  <c r="K429" i="1"/>
  <c r="G430" i="1"/>
  <c r="H430" i="1"/>
  <c r="I430" i="1"/>
  <c r="J430" i="1"/>
  <c r="K430" i="1"/>
  <c r="G431" i="1"/>
  <c r="H431" i="1"/>
  <c r="I431" i="1"/>
  <c r="J431" i="1"/>
  <c r="K431" i="1"/>
  <c r="G432" i="1"/>
  <c r="H432" i="1"/>
  <c r="I432" i="1"/>
  <c r="J432" i="1"/>
  <c r="K432" i="1"/>
  <c r="G433" i="1"/>
  <c r="H433" i="1"/>
  <c r="I433" i="1"/>
  <c r="J433" i="1"/>
  <c r="K433" i="1"/>
  <c r="G434" i="1"/>
  <c r="H434" i="1"/>
  <c r="I434" i="1"/>
  <c r="J434" i="1"/>
  <c r="K434" i="1"/>
  <c r="G435" i="1"/>
  <c r="H435" i="1"/>
  <c r="I435" i="1"/>
  <c r="J435" i="1"/>
  <c r="K435" i="1"/>
  <c r="G436" i="1"/>
  <c r="H436" i="1"/>
  <c r="I436" i="1"/>
  <c r="J436" i="1"/>
  <c r="K436" i="1"/>
  <c r="G437" i="1"/>
  <c r="H437" i="1"/>
  <c r="I437" i="1"/>
  <c r="J437" i="1"/>
  <c r="K437" i="1"/>
  <c r="G438" i="1"/>
  <c r="H438" i="1"/>
  <c r="I438" i="1"/>
  <c r="J438" i="1"/>
  <c r="K438" i="1"/>
  <c r="G439" i="1"/>
  <c r="H439" i="1"/>
  <c r="I439" i="1"/>
  <c r="J439" i="1"/>
  <c r="K439" i="1"/>
  <c r="G440" i="1"/>
  <c r="H440" i="1"/>
  <c r="I440" i="1"/>
  <c r="J440" i="1"/>
  <c r="K440" i="1"/>
  <c r="G441" i="1"/>
  <c r="H441" i="1"/>
  <c r="I441" i="1"/>
  <c r="J441" i="1"/>
  <c r="K441" i="1"/>
  <c r="G442" i="1"/>
  <c r="H442" i="1"/>
  <c r="I442" i="1"/>
  <c r="J442" i="1"/>
  <c r="K442" i="1"/>
  <c r="G443" i="1"/>
  <c r="H443" i="1"/>
  <c r="I443" i="1"/>
  <c r="J443" i="1"/>
  <c r="K443" i="1"/>
  <c r="G444" i="1"/>
  <c r="H444" i="1"/>
  <c r="I444" i="1"/>
  <c r="J444" i="1"/>
  <c r="K444" i="1"/>
  <c r="G445" i="1"/>
  <c r="H445" i="1"/>
  <c r="I445" i="1"/>
  <c r="J445" i="1"/>
  <c r="K445" i="1"/>
  <c r="G446" i="1"/>
  <c r="H446" i="1"/>
  <c r="I446" i="1"/>
  <c r="J446" i="1"/>
  <c r="K446" i="1"/>
  <c r="G447" i="1"/>
  <c r="H447" i="1"/>
  <c r="I447" i="1"/>
  <c r="J447" i="1"/>
  <c r="K447" i="1"/>
  <c r="G448" i="1"/>
  <c r="H448" i="1"/>
  <c r="I448" i="1"/>
  <c r="J448" i="1"/>
  <c r="K448" i="1"/>
  <c r="G449" i="1"/>
  <c r="H449" i="1"/>
  <c r="I449" i="1"/>
  <c r="J449" i="1"/>
  <c r="K449" i="1"/>
  <c r="G450" i="1"/>
  <c r="H450" i="1"/>
  <c r="I450" i="1"/>
  <c r="J450" i="1"/>
  <c r="K450" i="1"/>
  <c r="G451" i="1"/>
  <c r="H451" i="1"/>
  <c r="I451" i="1"/>
  <c r="J451" i="1"/>
  <c r="K451" i="1"/>
  <c r="G452" i="1"/>
  <c r="H452" i="1"/>
  <c r="I452" i="1"/>
  <c r="J452" i="1"/>
  <c r="K452" i="1"/>
  <c r="G453" i="1"/>
  <c r="H453" i="1"/>
  <c r="I453" i="1"/>
  <c r="J453" i="1"/>
  <c r="K453" i="1"/>
  <c r="G454" i="1"/>
  <c r="H454" i="1"/>
  <c r="I454" i="1"/>
  <c r="J454" i="1"/>
  <c r="K454" i="1"/>
  <c r="G455" i="1"/>
  <c r="H455" i="1"/>
  <c r="I455" i="1"/>
  <c r="J455" i="1"/>
  <c r="K455" i="1"/>
  <c r="H4" i="1"/>
  <c r="I4" i="1"/>
  <c r="J4" i="1"/>
  <c r="K4" i="1"/>
  <c r="G4" i="1"/>
  <c r="N34" i="4" l="1"/>
  <c r="R9" i="4"/>
  <c r="N34" i="2"/>
  <c r="R9" i="2"/>
  <c r="N4" i="1"/>
  <c r="U8" i="1"/>
  <c r="W6" i="1" s="1"/>
  <c r="W8" i="1"/>
  <c r="X9" i="1"/>
  <c r="W9" i="1"/>
  <c r="X8" i="1" s="1"/>
  <c r="U9" i="1"/>
  <c r="X6" i="1" s="1"/>
  <c r="U6" i="1"/>
  <c r="V9" i="1"/>
  <c r="X7" i="1" s="1"/>
  <c r="V8" i="1"/>
  <c r="W7" i="1" s="1"/>
  <c r="V7" i="1"/>
  <c r="U7" i="1"/>
  <c r="V6" i="1" s="1"/>
  <c r="N5" i="1"/>
  <c r="N6" i="1"/>
  <c r="N7" i="1"/>
  <c r="T7" i="1"/>
  <c r="V5" i="1" s="1"/>
  <c r="T6" i="1"/>
  <c r="U5" i="1" s="1"/>
  <c r="T9" i="1"/>
  <c r="X5" i="1" s="1"/>
  <c r="T8" i="1"/>
  <c r="W5" i="1" s="1"/>
  <c r="T5" i="1"/>
  <c r="N8" i="1"/>
  <c r="P4" i="1"/>
  <c r="P6" i="1"/>
  <c r="Q6" i="1" s="1"/>
  <c r="P8" i="1"/>
  <c r="Q8" i="1" s="1"/>
  <c r="P7" i="1"/>
  <c r="Q7" i="1" s="1"/>
  <c r="P5" i="1"/>
  <c r="Q5" i="1" s="1"/>
  <c r="O34" i="4" l="1"/>
  <c r="O34" i="2"/>
  <c r="N27" i="1"/>
  <c r="T18" i="1" a="1"/>
  <c r="T18" i="1" s="1"/>
  <c r="T19" i="1" s="1"/>
  <c r="N25" i="1" a="1"/>
  <c r="N25" i="1" s="1"/>
  <c r="N26" i="1" s="1"/>
  <c r="AA3" i="1" a="1"/>
  <c r="AA3" i="1" s="1"/>
  <c r="R18" i="1" a="1"/>
  <c r="R18" i="1" s="1"/>
  <c r="R19" i="1" s="1"/>
  <c r="V26" i="1"/>
  <c r="O34" i="1" s="1"/>
  <c r="N18" i="1" a="1"/>
  <c r="N18" i="1" s="1"/>
  <c r="N19" i="1" s="1"/>
  <c r="S18" i="1" a="1"/>
  <c r="S18" i="1" s="1"/>
  <c r="S19" i="1" s="1"/>
  <c r="O18" i="1" a="1"/>
  <c r="O18" i="1" s="1"/>
  <c r="O19" i="1" s="1"/>
  <c r="P18" i="1" a="1"/>
  <c r="P18" i="1" s="1"/>
  <c r="P19" i="1" s="1"/>
  <c r="U18" i="1" a="1"/>
  <c r="U18" i="1" s="1"/>
  <c r="U19" i="1" s="1"/>
  <c r="X18" i="1" a="1"/>
  <c r="X18" i="1" s="1"/>
  <c r="X19" i="1" s="1"/>
  <c r="Y18" i="1" a="1"/>
  <c r="Y18" i="1" s="1"/>
  <c r="Y19" i="1" s="1"/>
  <c r="V18" i="1" a="1"/>
  <c r="V18" i="1" s="1"/>
  <c r="V19" i="1" s="1"/>
  <c r="W18" i="1" a="1"/>
  <c r="W18" i="1" s="1"/>
  <c r="W19" i="1" s="1"/>
  <c r="Q18" i="1" a="1"/>
  <c r="Q18" i="1" s="1"/>
  <c r="Q19" i="1" s="1"/>
  <c r="R4" i="1"/>
  <c r="Q4" i="1"/>
  <c r="R6" i="1" l="1"/>
  <c r="R7" i="1"/>
  <c r="R5" i="1"/>
  <c r="R8" i="1"/>
  <c r="Q30" i="1"/>
  <c r="O9" i="1"/>
  <c r="R9" i="1" l="1"/>
  <c r="AA5" i="1" s="1"/>
  <c r="S21" i="1"/>
  <c r="N21" i="1"/>
  <c r="Y21" i="1"/>
  <c r="W21" i="1"/>
  <c r="T21" i="1"/>
  <c r="V21" i="1"/>
  <c r="AA4" i="1"/>
  <c r="P21" i="1"/>
  <c r="O21" i="1"/>
  <c r="X21" i="1"/>
  <c r="U21" i="1"/>
  <c r="AA6" i="1" l="1"/>
  <c r="Q21" i="1"/>
  <c r="V27" i="1"/>
  <c r="N34" i="1" s="1"/>
  <c r="R21" i="1"/>
  <c r="N28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<sst xmlns="http://schemas.openxmlformats.org/spreadsheetml/2006/main" count="234" uniqueCount="37">
  <si>
    <t>Date</t>
  </si>
  <si>
    <t>Mean</t>
  </si>
  <si>
    <t>Weights</t>
  </si>
  <si>
    <t>Portfolio SD</t>
  </si>
  <si>
    <t>Sum</t>
  </si>
  <si>
    <t>Return</t>
  </si>
  <si>
    <t>Sharpe ratio</t>
  </si>
  <si>
    <t>Weight</t>
  </si>
  <si>
    <t>Weight in RF</t>
  </si>
  <si>
    <t>Daily Return</t>
  </si>
  <si>
    <t>Daily Price</t>
  </si>
  <si>
    <t>A</t>
  </si>
  <si>
    <t>B</t>
  </si>
  <si>
    <t>C</t>
  </si>
  <si>
    <t>D</t>
  </si>
  <si>
    <t>E</t>
  </si>
  <si>
    <t>Data</t>
  </si>
  <si>
    <t>Sum of weights</t>
  </si>
  <si>
    <t>Return/ Daily</t>
  </si>
  <si>
    <t>Portfolio Var</t>
  </si>
  <si>
    <t>Var</t>
  </si>
  <si>
    <t>Std.Dev</t>
  </si>
  <si>
    <t>1. Data Information</t>
  </si>
  <si>
    <t>2. Variance-covariance matrix</t>
  </si>
  <si>
    <t>Portfolio Return with Rf</t>
  </si>
  <si>
    <t>Portfolio Standard Deviation with Rf</t>
  </si>
  <si>
    <t>3. Portfolio statistics</t>
  </si>
  <si>
    <t>4. Dữ liệu từ Solver</t>
  </si>
  <si>
    <t>6. Combination of Tangent portfolio and RF</t>
  </si>
  <si>
    <t>7. Capital allocation line</t>
  </si>
  <si>
    <t>Weight of RF</t>
  </si>
  <si>
    <t>5. Optimal risky portfolio</t>
  </si>
  <si>
    <t>Portfolio Exp. Return</t>
  </si>
  <si>
    <t>Portfolio Expected Return</t>
  </si>
  <si>
    <t>Annual Return of Risk-free Rate</t>
  </si>
  <si>
    <t>Portfolio Var — khai triển (mô phỏng Data.xlsx – Sheet1): = Σ (wᵢ·wⱼ·Covᵢⱼ)</t>
  </si>
  <si>
    <t>Portfolio Var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</si>
</sst>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%"/>
    <numFmt numFmtId="166" formatCode="0.0000%"/>
    <numFmt numFmtId="167" formatCode="0.0000000000"/>
    <numFmt numFmtId="168" formatCode="_(* #,##0.000000000_);_(* \(#,##0.0000000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sz val="12"/>
      <color rgb="FF0000FF"/>
      <name val="Calibri"/>
      <family val="2"/>
    </font>
    <font>
      <sz val="11"/>
      <color rgb="FF0000FF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05">
    <xf numFmtId="0" fontId="0" fillId="0" borderId="0" xfId="0"/>
    <xf numFmtId="0" fontId="18" fillId="0" borderId="0" xfId="0" applyFont="1"/>
    <xf numFmtId="0" fontId="19" fillId="0" borderId="14" xfId="0" applyFont="1" applyBorder="1"/>
    <xf numFmtId="0" fontId="18" fillId="0" borderId="14" xfId="0" applyFont="1" applyBorder="1"/>
    <xf numFmtId="165" fontId="18" fillId="0" borderId="15" xfId="0" applyNumberFormat="1" applyFont="1" applyBorder="1"/>
    <xf numFmtId="0" fontId="18" fillId="0" borderId="16" xfId="0" applyFont="1" applyBorder="1"/>
    <xf numFmtId="0" fontId="18" fillId="0" borderId="10" xfId="0" applyFont="1" applyBorder="1"/>
    <xf numFmtId="0" fontId="19" fillId="0" borderId="0" xfId="0" applyFont="1"/>
    <xf numFmtId="10" fontId="18" fillId="0" borderId="0" xfId="1" applyNumberFormat="1" applyFont="1" applyBorder="1"/>
    <xf numFmtId="0" fontId="19" fillId="0" borderId="10" xfId="0" applyFont="1" applyBorder="1"/>
    <xf numFmtId="9" fontId="18" fillId="0" borderId="14" xfId="0" applyNumberFormat="1" applyFont="1" applyBorder="1"/>
    <xf numFmtId="0" fontId="20" fillId="0" borderId="0" xfId="0" applyFont="1" applyAlignment="1">
      <alignment horizontal="center"/>
    </xf>
    <xf numFmtId="14" fontId="20" fillId="0" borderId="18" xfId="0" applyNumberFormat="1" applyFont="1" applyBorder="1" applyAlignment="1">
      <alignment horizontal="center"/>
    </xf>
    <xf numFmtId="0" fontId="21" fillId="36" borderId="18" xfId="0" applyFont="1" applyFill="1" applyBorder="1" applyAlignment="1">
      <alignment horizontal="center" vertical="center"/>
    </xf>
    <xf numFmtId="10" fontId="20" fillId="37" borderId="18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0" fontId="0" fillId="0" borderId="0" xfId="1" applyNumberFormat="1" applyFont="1"/>
    <xf numFmtId="0" fontId="19" fillId="0" borderId="0" xfId="0" applyFont="1" applyAlignment="1">
      <alignment vertical="center"/>
    </xf>
    <xf numFmtId="165" fontId="18" fillId="0" borderId="0" xfId="1" applyNumberFormat="1" applyFont="1"/>
    <xf numFmtId="3" fontId="23" fillId="0" borderId="18" xfId="0" applyNumberFormat="1" applyFont="1" applyBorder="1" applyAlignment="1">
      <alignment horizontal="center"/>
    </xf>
    <xf numFmtId="165" fontId="24" fillId="36" borderId="0" xfId="1" applyNumberFormat="1" applyFont="1" applyFill="1" applyBorder="1" applyAlignment="1">
      <alignment horizontal="center"/>
    </xf>
    <xf numFmtId="168" fontId="0" fillId="0" borderId="0" xfId="43" applyNumberFormat="1" applyFont="1" applyFill="1" applyBorder="1" applyAlignment="1"/>
    <xf numFmtId="168" fontId="26" fillId="0" borderId="0" xfId="43" applyNumberFormat="1" applyFont="1" applyFill="1" applyBorder="1" applyAlignment="1"/>
    <xf numFmtId="168" fontId="26" fillId="0" borderId="10" xfId="43" applyNumberFormat="1" applyFont="1" applyFill="1" applyBorder="1" applyAlignment="1"/>
    <xf numFmtId="10" fontId="24" fillId="36" borderId="0" xfId="1" applyNumberFormat="1" applyFont="1" applyFill="1" applyBorder="1"/>
    <xf numFmtId="10" fontId="24" fillId="36" borderId="15" xfId="1" applyNumberFormat="1" applyFont="1" applyFill="1" applyBorder="1"/>
    <xf numFmtId="9" fontId="18" fillId="0" borderId="17" xfId="1" applyFont="1" applyBorder="1"/>
    <xf numFmtId="165" fontId="18" fillId="0" borderId="15" xfId="1" applyNumberFormat="1" applyFont="1" applyBorder="1"/>
    <xf numFmtId="168" fontId="16" fillId="36" borderId="0" xfId="43" applyNumberFormat="1" applyFont="1" applyFill="1" applyBorder="1" applyAlignment="1"/>
    <xf numFmtId="168" fontId="27" fillId="36" borderId="0" xfId="43" applyNumberFormat="1" applyFont="1" applyFill="1" applyBorder="1" applyAlignment="1"/>
    <xf numFmtId="165" fontId="18" fillId="0" borderId="17" xfId="1" applyNumberFormat="1" applyFont="1" applyBorder="1"/>
    <xf numFmtId="165" fontId="29" fillId="36" borderId="0" xfId="1" applyNumberFormat="1" applyFont="1" applyFill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8" fillId="0" borderId="0" xfId="1" applyNumberFormat="1" applyFont="1" applyBorder="1"/>
    <xf numFmtId="10" fontId="18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15" xfId="0" applyNumberForma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0" fontId="18" fillId="0" borderId="10" xfId="1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0" fillId="0" borderId="14" xfId="0" applyBorder="1"/>
    <xf numFmtId="168" fontId="0" fillId="0" borderId="15" xfId="43" applyNumberFormat="1" applyFont="1" applyFill="1" applyBorder="1" applyAlignment="1"/>
    <xf numFmtId="0" fontId="0" fillId="0" borderId="16" xfId="0" applyBorder="1"/>
    <xf numFmtId="168" fontId="16" fillId="36" borderId="17" xfId="43" applyNumberFormat="1" applyFont="1" applyFill="1" applyBorder="1" applyAlignment="1"/>
    <xf numFmtId="0" fontId="18" fillId="0" borderId="14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18" fillId="0" borderId="15" xfId="0" applyFont="1" applyBorder="1"/>
    <xf numFmtId="10" fontId="18" fillId="0" borderId="0" xfId="0" applyNumberFormat="1" applyFont="1"/>
    <xf numFmtId="10" fontId="18" fillId="0" borderId="15" xfId="0" applyNumberFormat="1" applyFont="1" applyBorder="1"/>
    <xf numFmtId="165" fontId="24" fillId="0" borderId="0" xfId="0" applyNumberFormat="1" applyFont="1"/>
    <xf numFmtId="165" fontId="24" fillId="0" borderId="15" xfId="0" applyNumberFormat="1" applyFont="1" applyBorder="1"/>
    <xf numFmtId="0" fontId="19" fillId="0" borderId="16" xfId="0" applyFont="1" applyBorder="1"/>
    <xf numFmtId="165" fontId="18" fillId="0" borderId="10" xfId="1" applyNumberFormat="1" applyFont="1" applyBorder="1"/>
    <xf numFmtId="165" fontId="29" fillId="36" borderId="10" xfId="1" applyNumberFormat="1" applyFont="1" applyFill="1" applyBorder="1"/>
    <xf numFmtId="0" fontId="18" fillId="0" borderId="14" xfId="0" applyFont="1" applyBorder="1" applyAlignment="1">
      <alignment horizontal="left"/>
    </xf>
    <xf numFmtId="0" fontId="18" fillId="0" borderId="0" xfId="0" applyFont="1" applyAlignment="1">
      <alignment horizontal="left"/>
    </xf>
    <xf numFmtId="9" fontId="24" fillId="0" borderId="15" xfId="1" applyFont="1" applyBorder="1"/>
    <xf numFmtId="165" fontId="28" fillId="0" borderId="15" xfId="1" applyNumberFormat="1" applyFont="1" applyBorder="1"/>
    <xf numFmtId="165" fontId="24" fillId="0" borderId="17" xfId="1" applyNumberFormat="1" applyFont="1" applyBorder="1"/>
    <xf numFmtId="165" fontId="19" fillId="36" borderId="15" xfId="0" applyNumberFormat="1" applyFont="1" applyFill="1" applyBorder="1"/>
    <xf numFmtId="165" fontId="19" fillId="36" borderId="0" xfId="0" applyNumberFormat="1" applyFont="1" applyFill="1"/>
    <xf numFmtId="165" fontId="18" fillId="0" borderId="0" xfId="0" applyNumberFormat="1" applyFont="1"/>
    <xf numFmtId="9" fontId="18" fillId="0" borderId="16" xfId="0" applyNumberFormat="1" applyFont="1" applyBorder="1"/>
    <xf numFmtId="165" fontId="18" fillId="0" borderId="10" xfId="0" applyNumberFormat="1" applyFont="1" applyBorder="1"/>
    <xf numFmtId="165" fontId="18" fillId="0" borderId="17" xfId="0" applyNumberFormat="1" applyFont="1" applyBorder="1"/>
    <xf numFmtId="165" fontId="29" fillId="0" borderId="10" xfId="1" applyNumberFormat="1" applyFont="1" applyFill="1" applyBorder="1"/>
    <xf numFmtId="0" fontId="21" fillId="36" borderId="18" xfId="0" applyFont="1" applyFill="1" applyBorder="1" applyAlignment="1">
      <alignment horizontal="center" vertical="center"/>
    </xf>
    <xf numFmtId="0" fontId="21" fillId="36" borderId="19" xfId="0" applyFont="1" applyFill="1" applyBorder="1" applyAlignment="1">
      <alignment horizontal="center" vertical="center"/>
    </xf>
    <xf numFmtId="0" fontId="21" fillId="36" borderId="2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8" fillId="0" borderId="14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16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10" fontId="0" fillId="0" borderId="0" xfId="0" applyNumberFormat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7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ình thường" xfId="0" builtinId="0"/>
    <cellStyle name="Dấu phẩy" xfId="43" builtinId="3"/>
    <cellStyle name="Đầu đề 1" xfId="3" builtinId="16" customBuiltin="1"/>
    <cellStyle name="Đầu đề 2" xfId="4" builtinId="17" customBuiltin="1"/>
    <cellStyle name="Đầu đề 3" xfId="5" builtinId="18" customBuiltin="1"/>
    <cellStyle name="Đầu đề 4" xfId="6" builtinId="19" customBuiltin="1"/>
    <cellStyle name="Đầu ra" xfId="11" builtinId="21" customBuiltin="1"/>
    <cellStyle name="Đầu vào" xfId="10" builtinId="20" customBuiltin="1"/>
    <cellStyle name="Ghi chú" xfId="16" builtinId="10" customBuiltin="1"/>
    <cellStyle name="Kiểm tra Ô" xfId="14" builtinId="23" customBuiltin="1"/>
    <cellStyle name="Ô được Nối kết" xfId="13" builtinId="24" customBuiltin="1"/>
    <cellStyle name="Phần trăm" xfId="1" builtinId="5"/>
    <cellStyle name="Tiêu đề" xfId="2" builtinId="15" customBuiltin="1"/>
    <cellStyle name="Tính toán" xfId="12" builtinId="22" customBuiltin="1"/>
    <cellStyle name="Tổng" xfId="18" builtinId="25" customBuiltin="1"/>
    <cellStyle name="Tốt" xfId="7" builtinId="26" customBuiltin="1"/>
    <cellStyle name="Trung lập" xfId="9" builtinId="28" customBuiltin="1"/>
    <cellStyle name="Văn bản Cảnh báo" xfId="15" builtinId="11" customBuiltin="1"/>
    <cellStyle name="Văn bản Giải thích" xfId="17" builtinId="53" customBuiltin="1"/>
    <cellStyle name="Xấu" xfId="8" builtinId="27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Minimum-variance frontier </a:t>
            </a:r>
            <a:r>
              <a:rPr lang="en-US" b="1"/>
              <a:t>and </a:t>
            </a:r>
            <a:r>
              <a:rPr lang="en-US" b="1">
                <a:solidFill>
                  <a:schemeClr val="accent2"/>
                </a:solidFill>
              </a:rPr>
              <a:t>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Minimum-variance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Template!$N$19:$Y$19</c:f>
              <c:numCache>
                <c:formatCode>0.00%</c:formatCode>
                <c:ptCount val="12"/>
              </c:numCache>
            </c:numRef>
          </c:xVal>
          <c:yVal>
            <c:numRef>
              <c:f>Template!$N$20:$Y$20</c:f>
              <c:numCache>
                <c:formatCode>0.000%</c:formatCode>
                <c:ptCount val="12"/>
                <c:pt idx="0">
                  <c:v>5.0000000000000001E-4</c:v>
                </c:pt>
                <c:pt idx="1">
                  <c:v>1E-3</c:v>
                </c:pt>
                <c:pt idx="2">
                  <c:v>1.5E-3</c:v>
                </c:pt>
                <c:pt idx="3">
                  <c:v>2E-3</c:v>
                </c:pt>
                <c:pt idx="4">
                  <c:v>2.5000000000000001E-3</c:v>
                </c:pt>
                <c:pt idx="5">
                  <c:v>3.0000000000000001E-3</c:v>
                </c:pt>
                <c:pt idx="6">
                  <c:v>3.5000000000000001E-3</c:v>
                </c:pt>
                <c:pt idx="7">
                  <c:v>4.0000000000000001E-3</c:v>
                </c:pt>
                <c:pt idx="8">
                  <c:v>4.4999999999999997E-3</c:v>
                </c:pt>
                <c:pt idx="9">
                  <c:v>5.0000000000000001E-3</c:v>
                </c:pt>
                <c:pt idx="10">
                  <c:v>5.4999999999999997E-3</c:v>
                </c:pt>
                <c:pt idx="11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4D-4E3C-A2D9-3F6B40C5BD47}"/>
            </c:ext>
          </c:extLst>
        </c:ser>
        <c:ser>
          <c:idx val="1"/>
          <c:order val="1"/>
          <c:tx>
            <c:v>Capital allocation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Template!$N$35:$N$55</c:f>
              <c:numCache>
                <c:formatCode>0.000%</c:formatCode>
                <c:ptCount val="21"/>
              </c:numCache>
            </c:numRef>
          </c:xVal>
          <c:yVal>
            <c:numRef>
              <c:f>Template!$O$35:$O$55</c:f>
              <c:numCache>
                <c:formatCode>0.000%</c:formatCode>
                <c:ptCount val="2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4D-4E3C-A2D9-3F6B40C5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845327"/>
        <c:axId val="643242607"/>
      </c:scatterChart>
      <c:valAx>
        <c:axId val="1185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43242607"/>
        <c:crosses val="autoZero"/>
        <c:crossBetween val="midCat"/>
      </c:valAx>
      <c:valAx>
        <c:axId val="6432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8584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Minimum-variance frontier </a:t>
            </a:r>
            <a:r>
              <a:rPr lang="en-US" b="1"/>
              <a:t>and </a:t>
            </a:r>
            <a:r>
              <a:rPr lang="en-US" b="1">
                <a:solidFill>
                  <a:schemeClr val="accent2"/>
                </a:solidFill>
              </a:rPr>
              <a:t>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Minimum-variance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Shortcut!$N$19:$Y$19</c:f>
              <c:numCache>
                <c:formatCode>0.00%</c:formatCode>
                <c:ptCount val="12"/>
              </c:numCache>
            </c:numRef>
          </c:xVal>
          <c:yVal>
            <c:numRef>
              <c:f>Shortcut!$N$20:$Y$20</c:f>
              <c:numCache>
                <c:formatCode>0.000%</c:formatCode>
                <c:ptCount val="12"/>
                <c:pt idx="0">
                  <c:v>5.0000000000000001E-4</c:v>
                </c:pt>
                <c:pt idx="1">
                  <c:v>1E-3</c:v>
                </c:pt>
                <c:pt idx="2">
                  <c:v>1.5E-3</c:v>
                </c:pt>
                <c:pt idx="3">
                  <c:v>2E-3</c:v>
                </c:pt>
                <c:pt idx="4">
                  <c:v>2.5000000000000001E-3</c:v>
                </c:pt>
                <c:pt idx="5">
                  <c:v>3.0000000000000001E-3</c:v>
                </c:pt>
                <c:pt idx="6">
                  <c:v>3.5000000000000001E-3</c:v>
                </c:pt>
                <c:pt idx="7">
                  <c:v>4.0000000000000001E-3</c:v>
                </c:pt>
                <c:pt idx="8">
                  <c:v>4.4999999999999997E-3</c:v>
                </c:pt>
                <c:pt idx="9">
                  <c:v>5.0000000000000001E-3</c:v>
                </c:pt>
                <c:pt idx="10">
                  <c:v>5.4999999999999997E-3</c:v>
                </c:pt>
                <c:pt idx="11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D4-4295-A3BF-93ED9EC40B59}"/>
            </c:ext>
          </c:extLst>
        </c:ser>
        <c:ser>
          <c:idx val="1"/>
          <c:order val="1"/>
          <c:tx>
            <c:v>Capital allocation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Shortcut!$N$35:$N$55</c:f>
              <c:numCache>
                <c:formatCode>0.000%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Shortcut!$O$35:$O$55</c:f>
              <c:numCache>
                <c:formatCode>0.000%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D4-4295-A3BF-93ED9EC4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845327"/>
        <c:axId val="643242607"/>
      </c:scatterChart>
      <c:valAx>
        <c:axId val="1185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43242607"/>
        <c:crosses val="autoZero"/>
        <c:crossBetween val="midCat"/>
      </c:valAx>
      <c:valAx>
        <c:axId val="6432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8584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Minimum-variance frontier </a:t>
            </a:r>
            <a:r>
              <a:rPr lang="en-US" b="1"/>
              <a:t>and </a:t>
            </a:r>
            <a:r>
              <a:rPr lang="en-US" b="1">
                <a:solidFill>
                  <a:schemeClr val="accent2"/>
                </a:solidFill>
              </a:rPr>
              <a:t>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Minimum-variance frontier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Final!$N$19:$Y$19</c:f>
              <c:numCache>
                <c:formatCode>0.00%</c:formatCode>
                <c:ptCount val="12"/>
                <c:pt idx="0">
                  <c:v>1.8284947884723696E-2</c:v>
                </c:pt>
                <c:pt idx="1">
                  <c:v>1.5696482286141161E-2</c:v>
                </c:pt>
                <c:pt idx="2">
                  <c:v>1.441221617931274E-2</c:v>
                </c:pt>
                <c:pt idx="3">
                  <c:v>1.4776215202965039E-2</c:v>
                </c:pt>
                <c:pt idx="4">
                  <c:v>1.6680924308109149E-2</c:v>
                </c:pt>
                <c:pt idx="5">
                  <c:v>1.9684056486992247E-2</c:v>
                </c:pt>
                <c:pt idx="6">
                  <c:v>2.3365852427539292E-2</c:v>
                </c:pt>
                <c:pt idx="7">
                  <c:v>2.7454620506591049E-2</c:v>
                </c:pt>
                <c:pt idx="8">
                  <c:v>3.1793732905943693E-2</c:v>
                </c:pt>
                <c:pt idx="9">
                  <c:v>3.629350985862085E-2</c:v>
                </c:pt>
                <c:pt idx="10">
                  <c:v>4.0900958478388878E-2</c:v>
                </c:pt>
                <c:pt idx="11">
                  <c:v>4.5583440895988633E-2</c:v>
                </c:pt>
              </c:numCache>
            </c:numRef>
          </c:xVal>
          <c:yVal>
            <c:numRef>
              <c:f>Final!$N$20:$Y$20</c:f>
              <c:numCache>
                <c:formatCode>0.000%</c:formatCode>
                <c:ptCount val="12"/>
                <c:pt idx="0">
                  <c:v>5.0000000000000001E-4</c:v>
                </c:pt>
                <c:pt idx="1">
                  <c:v>1E-3</c:v>
                </c:pt>
                <c:pt idx="2">
                  <c:v>1.5E-3</c:v>
                </c:pt>
                <c:pt idx="3">
                  <c:v>2E-3</c:v>
                </c:pt>
                <c:pt idx="4">
                  <c:v>2.5000000000000001E-3</c:v>
                </c:pt>
                <c:pt idx="5">
                  <c:v>3.0000000000000001E-3</c:v>
                </c:pt>
                <c:pt idx="6">
                  <c:v>3.5000000000000001E-3</c:v>
                </c:pt>
                <c:pt idx="7">
                  <c:v>4.0000000000000001E-3</c:v>
                </c:pt>
                <c:pt idx="8">
                  <c:v>4.4999999999999997E-3</c:v>
                </c:pt>
                <c:pt idx="9">
                  <c:v>5.0000000000000001E-3</c:v>
                </c:pt>
                <c:pt idx="10">
                  <c:v>5.4999999999999997E-3</c:v>
                </c:pt>
                <c:pt idx="11">
                  <c:v>6.0000000000000001E-3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F-BD46-BCBA-18B7F2A1ADF2}"/>
            </c:ext>
          </c:extLst>
        </c:ser>
        <c:ser>
          <c:idx val="1"/>
          <c:order val="1"/>
          <c:tx>
            <c:v>Capital allocation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Final!$N$35:$N$55</c:f>
              <c:numCache>
                <c:formatCode>0.000%</c:formatCode>
                <c:ptCount val="21"/>
                <c:pt idx="0">
                  <c:v>0</c:v>
                </c:pt>
                <c:pt idx="1">
                  <c:v>1.9684056486992244E-3</c:v>
                </c:pt>
                <c:pt idx="2">
                  <c:v>3.9368112973984489E-3</c:v>
                </c:pt>
                <c:pt idx="3">
                  <c:v>5.9052169460976746E-3</c:v>
                </c:pt>
                <c:pt idx="4">
                  <c:v>7.8736225947968995E-3</c:v>
                </c:pt>
                <c:pt idx="5">
                  <c:v>9.8420282434961235E-3</c:v>
                </c:pt>
                <c:pt idx="6">
                  <c:v>1.1810433892195348E-2</c:v>
                </c:pt>
                <c:pt idx="7">
                  <c:v>1.3778839540894572E-2</c:v>
                </c:pt>
                <c:pt idx="8">
                  <c:v>1.5747245189593799E-2</c:v>
                </c:pt>
                <c:pt idx="9">
                  <c:v>1.7715650838293021E-2</c:v>
                </c:pt>
                <c:pt idx="10">
                  <c:v>1.9684056486992247E-2</c:v>
                </c:pt>
                <c:pt idx="11">
                  <c:v>2.1652462135691473E-2</c:v>
                </c:pt>
                <c:pt idx="12">
                  <c:v>2.3620867784390695E-2</c:v>
                </c:pt>
                <c:pt idx="13">
                  <c:v>2.5589273433089921E-2</c:v>
                </c:pt>
                <c:pt idx="14">
                  <c:v>2.7557679081789143E-2</c:v>
                </c:pt>
                <c:pt idx="15">
                  <c:v>2.9526084730488372E-2</c:v>
                </c:pt>
                <c:pt idx="16">
                  <c:v>3.1494490379187598E-2</c:v>
                </c:pt>
                <c:pt idx="17">
                  <c:v>3.3462896027886817E-2</c:v>
                </c:pt>
                <c:pt idx="18">
                  <c:v>3.5431301676586043E-2</c:v>
                </c:pt>
                <c:pt idx="19">
                  <c:v>3.7399707325285268E-2</c:v>
                </c:pt>
                <c:pt idx="20">
                  <c:v>3.9368112973984494E-2</c:v>
                </c:pt>
              </c:numCache>
            </c:numRef>
          </c:xVal>
          <c:yVal>
            <c:numRef>
              <c:f>Final!$O$35:$O$55</c:f>
              <c:numCache>
                <c:formatCode>0.000%</c:formatCode>
                <c:ptCount val="21"/>
                <c:pt idx="0">
                  <c:v>1.2495890410958903E-4</c:v>
                </c:pt>
                <c:pt idx="1">
                  <c:v>4.1246301509499943E-4</c:v>
                </c:pt>
                <c:pt idx="2">
                  <c:v>6.9996712608040991E-4</c:v>
                </c:pt>
                <c:pt idx="3">
                  <c:v>9.8747123706582072E-4</c:v>
                </c:pt>
                <c:pt idx="4">
                  <c:v>1.2749753480512311E-3</c:v>
                </c:pt>
                <c:pt idx="5">
                  <c:v>1.5624794590366415E-3</c:v>
                </c:pt>
                <c:pt idx="6">
                  <c:v>1.8499835700220518E-3</c:v>
                </c:pt>
                <c:pt idx="7">
                  <c:v>2.1374876810074622E-3</c:v>
                </c:pt>
                <c:pt idx="8">
                  <c:v>2.4249917919928732E-3</c:v>
                </c:pt>
                <c:pt idx="9">
                  <c:v>2.7124959029782834E-3</c:v>
                </c:pt>
                <c:pt idx="10">
                  <c:v>3.000000013963694E-3</c:v>
                </c:pt>
                <c:pt idx="11">
                  <c:v>3.2875041249491046E-3</c:v>
                </c:pt>
                <c:pt idx="12">
                  <c:v>3.5750082359345147E-3</c:v>
                </c:pt>
                <c:pt idx="13">
                  <c:v>3.8625123469199257E-3</c:v>
                </c:pt>
                <c:pt idx="14">
                  <c:v>4.1500164579053355E-3</c:v>
                </c:pt>
                <c:pt idx="15">
                  <c:v>4.4375205688907465E-3</c:v>
                </c:pt>
                <c:pt idx="16">
                  <c:v>4.7250246798761575E-3</c:v>
                </c:pt>
                <c:pt idx="17">
                  <c:v>5.0125287908615677E-3</c:v>
                </c:pt>
                <c:pt idx="18">
                  <c:v>5.3000329018469778E-3</c:v>
                </c:pt>
                <c:pt idx="19">
                  <c:v>5.587537012832388E-3</c:v>
                </c:pt>
                <c:pt idx="20">
                  <c:v>5.875041123817799E-3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BF-BD46-BCBA-18B7F2A1A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845327"/>
        <c:axId val="643242607"/>
      </c:scatterChart>
      <c:valAx>
        <c:axId val="1185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43242607"/>
        <c:crosses val="autoZero"/>
        <c:crossBetween val="midCat"/>
      </c:valAx>
      <c:valAx>
        <c:axId val="6432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18584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1017138</xdr:colOff>
      <xdr:row>31</xdr:row>
      <xdr:rowOff>5611</xdr:rowOff>
    </xdr:from>
    <xdr:to>
      <xdr:col>24</xdr:col>
      <xdr:colOff>1064063</xdr:colOff>
      <xdr:row>55</xdr:row>
      <xdr:rowOff>30397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FE89C-8FF1-46C1-995C-F55AD6A9F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1017138</xdr:colOff>
      <xdr:row>31</xdr:row>
      <xdr:rowOff>5611</xdr:rowOff>
    </xdr:from>
    <xdr:to>
      <xdr:col>24</xdr:col>
      <xdr:colOff>1064063</xdr:colOff>
      <xdr:row>55</xdr:row>
      <xdr:rowOff>30397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7CA74-DDAB-4831-9845-B8DFBDFCD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1017138</xdr:colOff>
      <xdr:row>31</xdr:row>
      <xdr:rowOff>5611</xdr:rowOff>
    </xdr:from>
    <xdr:to>
      <xdr:col>24</xdr:col>
      <xdr:colOff>1064063</xdr:colOff>
      <xdr:row>55</xdr:row>
      <xdr:rowOff>30397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75229-E5E7-3D25-A1B1-E09449C57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C4DBD4-D3D1-4D4A-A343-AFBA1BBE945E}">
  <we:reference id="wa200009404" version="1.0.0.8" store="vi-VN" storeType="OMEX"/>
  <we:alternateReferences>
    <we:reference id="wa200009404" version="1.0.0.8" store="wa200009404" storeType="OMEX"/>
  </we:alternateReferences>
  <we:properties>
    <we:property name="claude.fileId" value="&quot;912a2fa3-4045-47dc-bde2-ea8041fc05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496C-4EE4-4DC1-B747-256C16735016}">
  <dimension ref="A1:AK456"/>
  <sheetViews>
    <sheetView tabSelected="1" topLeftCell="J1" zoomScale="63" zoomScaleNormal="100" workbookViewId="0">
      <selection activeCell="AA22" sqref="AA22"/>
    </sheetView>
  </sheetViews>
  <sheetFormatPr defaultColWidth="8.81640625" defaultRowHeight="15.5" x14ac:dyDescent="0.35"/>
  <cols>
    <col min="1" max="1" width="11.81640625" style="11" bestFit="1" customWidth="1"/>
    <col min="2" max="11" width="9.1796875" style="11" bestFit="1" customWidth="1"/>
    <col min="13" max="13" width="19.6328125" bestFit="1" customWidth="1"/>
    <col min="14" max="14" width="15.6328125" customWidth="1"/>
    <col min="15" max="15" width="19" customWidth="1"/>
    <col min="16" max="16" width="15.36328125" bestFit="1" customWidth="1"/>
    <col min="17" max="17" width="17.81640625" customWidth="1"/>
    <col min="18" max="18" width="14.81640625" bestFit="1" customWidth="1"/>
    <col min="19" max="20" width="13.1796875" customWidth="1"/>
    <col min="21" max="21" width="13.36328125" customWidth="1"/>
    <col min="22" max="24" width="14.81640625" bestFit="1" customWidth="1"/>
    <col min="25" max="25" width="16" customWidth="1"/>
    <col min="26" max="26" width="24.1796875" bestFit="1" customWidth="1"/>
    <col min="27" max="27" width="13.81640625" customWidth="1"/>
    <col min="30" max="32" width="12.6328125" bestFit="1" customWidth="1"/>
    <col min="33" max="33" width="15.1796875" customWidth="1"/>
    <col min="34" max="34" width="12.6328125" bestFit="1" customWidth="1"/>
  </cols>
  <sheetData>
    <row r="1" spans="1:37" ht="19" thickBot="1" x14ac:dyDescent="0.5">
      <c r="A1" s="82" t="s">
        <v>16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37" ht="17.5" thickBot="1" x14ac:dyDescent="0.4">
      <c r="A2" s="74" t="s">
        <v>0</v>
      </c>
      <c r="B2" s="73" t="s">
        <v>10</v>
      </c>
      <c r="C2" s="73"/>
      <c r="D2" s="73"/>
      <c r="E2" s="73"/>
      <c r="F2" s="73"/>
      <c r="G2" s="73" t="s">
        <v>9</v>
      </c>
      <c r="H2" s="73"/>
      <c r="I2" s="73"/>
      <c r="J2" s="73"/>
      <c r="K2" s="73"/>
      <c r="L2" s="1"/>
      <c r="M2" s="86" t="s">
        <v>22</v>
      </c>
      <c r="N2" s="87"/>
      <c r="O2" s="87"/>
      <c r="P2" s="87"/>
      <c r="Q2" s="87"/>
      <c r="R2" s="88"/>
      <c r="S2" s="76" t="s">
        <v>23</v>
      </c>
      <c r="T2" s="77"/>
      <c r="U2" s="77"/>
      <c r="V2" s="77"/>
      <c r="W2" s="77"/>
      <c r="X2" s="78"/>
      <c r="Y2" s="18"/>
      <c r="Z2" s="86" t="s">
        <v>26</v>
      </c>
      <c r="AA2" s="88"/>
      <c r="AB2" s="18"/>
      <c r="AC2" s="18" t="s">
        <v>35</v>
      </c>
      <c r="AD2" s="18"/>
    </row>
    <row r="3" spans="1:37" ht="17.5" thickBot="1" x14ac:dyDescent="0.4">
      <c r="A3" s="75"/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11</v>
      </c>
      <c r="H3" s="13" t="s">
        <v>12</v>
      </c>
      <c r="I3" s="13" t="s">
        <v>13</v>
      </c>
      <c r="J3" s="13" t="s">
        <v>14</v>
      </c>
      <c r="K3" s="13" t="s">
        <v>15</v>
      </c>
      <c r="L3" s="1"/>
      <c r="M3" s="49"/>
      <c r="N3" s="15" t="s">
        <v>1</v>
      </c>
      <c r="O3" s="15" t="s">
        <v>2</v>
      </c>
      <c r="P3" s="15" t="s">
        <v>20</v>
      </c>
      <c r="Q3" s="15" t="s">
        <v>21</v>
      </c>
      <c r="R3" s="34" t="s">
        <v>5</v>
      </c>
      <c r="S3" s="79"/>
      <c r="T3" s="80"/>
      <c r="U3" s="80"/>
      <c r="V3" s="80"/>
      <c r="W3" s="80"/>
      <c r="X3" s="81"/>
      <c r="Y3" s="18"/>
      <c r="Z3" s="3" t="s">
        <v>19</v>
      </c>
      <c r="AA3" s="28">
        <f>SUM(AD4:AH8)</f>
        <v>3.5945374041721227E-4</v>
      </c>
      <c r="AB3" s="18"/>
      <c r="AC3" s="18"/>
      <c r="AD3" s="101" t="s">
        <v>11</v>
      </c>
      <c r="AE3" s="102" t="s">
        <v>12</v>
      </c>
      <c r="AF3" s="102" t="s">
        <v>13</v>
      </c>
      <c r="AG3" s="102" t="s">
        <v>14</v>
      </c>
      <c r="AH3" s="102" t="s">
        <v>15</v>
      </c>
      <c r="AK3" s="17"/>
    </row>
    <row r="4" spans="1:37" x14ac:dyDescent="0.35">
      <c r="A4" s="12">
        <v>44993</v>
      </c>
      <c r="B4" s="20">
        <v>30300</v>
      </c>
      <c r="C4" s="20">
        <v>49800</v>
      </c>
      <c r="D4" s="20">
        <v>37600</v>
      </c>
      <c r="E4" s="20">
        <v>47600</v>
      </c>
      <c r="F4" s="20">
        <v>69500</v>
      </c>
      <c r="G4" s="14">
        <f>B4/B5-1</f>
        <v>3.0612244897959107E-2</v>
      </c>
      <c r="H4" s="14">
        <f t="shared" ref="H4:K19" si="0">C4/C5-1</f>
        <v>1.6326530612244872E-2</v>
      </c>
      <c r="I4" s="14">
        <f t="shared" si="0"/>
        <v>9.3023255813953432E-2</v>
      </c>
      <c r="J4" s="14">
        <f t="shared" si="0"/>
        <v>1.8181818181818077E-2</v>
      </c>
      <c r="K4" s="14">
        <f t="shared" si="0"/>
        <v>2.8106508875739733E-2</v>
      </c>
      <c r="L4" s="1"/>
      <c r="M4" s="33" t="s">
        <v>11</v>
      </c>
      <c r="N4" s="36">
        <f>AVERAGE(G4:G455)</f>
        <v>1.652301561065542E-3</v>
      </c>
      <c r="O4" s="26">
        <v>0.2</v>
      </c>
      <c r="P4" s="37">
        <f>_xlfn.VAR.S(G4:G455)</f>
        <v>1.0938749246029846E-3</v>
      </c>
      <c r="Q4" s="100">
        <f>SQRT(P4)</f>
        <v>3.307378001684997E-2</v>
      </c>
      <c r="R4" s="39">
        <f>N4*O4</f>
        <v>3.3046031221310842E-4</v>
      </c>
      <c r="S4" s="50"/>
      <c r="T4" s="51" t="s">
        <v>11</v>
      </c>
      <c r="U4" s="51" t="s">
        <v>12</v>
      </c>
      <c r="V4" s="51" t="s">
        <v>13</v>
      </c>
      <c r="W4" s="51" t="s">
        <v>14</v>
      </c>
      <c r="X4" s="52" t="s">
        <v>15</v>
      </c>
      <c r="Y4" s="15"/>
      <c r="Z4" s="3" t="s">
        <v>3</v>
      </c>
      <c r="AA4" s="28">
        <f>SQRT(AA3)</f>
        <v>1.8959265292125965E-2</v>
      </c>
      <c r="AB4" s="15"/>
      <c r="AC4" s="15" t="s">
        <v>11</v>
      </c>
      <c r="AD4" s="103">
        <f>INDEX($O$4:$O$8,MATCH($AC4,$M$4:$M$8,0))*INDEX($O$4:$O$8,MATCH(AD$3,$M$4:$M$8,0))*T5</f>
        <v>4.3754996984119476E-5</v>
      </c>
      <c r="AE4" s="103">
        <f>INDEX($O$4:$O$8,MATCH($AC4,$M$4:$M$8,0))*INDEX($O$4:$O$8,MATCH(AE$3,$M$4:$M$8,0))*U5</f>
        <v>1.6101297889797282E-5</v>
      </c>
      <c r="AF4" s="103">
        <f>INDEX($O$4:$O$8,MATCH($AC4,$M$4:$M$8,0))*INDEX($O$4:$O$8,MATCH(AF$3,$M$4:$M$8,0))*V5</f>
        <v>2.1899653185482351E-5</v>
      </c>
      <c r="AG4" s="103">
        <f t="shared" ref="AG4:AG8" si="1">INDEX($O$4:$O$8,MATCH($AC4,$M$4:$M$8,0))*INDEX($O$4:$O$8,MATCH(AG$3,$M$4:$M$8,0))*W5</f>
        <v>6.4677117098971163E-6</v>
      </c>
      <c r="AH4" s="103">
        <f>INDEX($O$4:$O$8,MATCH($AC4,$M$4:$M$8,0))*INDEX($O$4:$O$8,MATCH(AH$3,$M$4:$M$8,0))*X5</f>
        <v>1.1729887097710311E-5</v>
      </c>
    </row>
    <row r="5" spans="1:37" x14ac:dyDescent="0.35">
      <c r="A5" s="12">
        <v>44992</v>
      </c>
      <c r="B5" s="20">
        <v>29400</v>
      </c>
      <c r="C5" s="20">
        <v>49000</v>
      </c>
      <c r="D5" s="20">
        <v>34400</v>
      </c>
      <c r="E5" s="20">
        <v>46750</v>
      </c>
      <c r="F5" s="20">
        <v>67600</v>
      </c>
      <c r="G5" s="14">
        <f t="shared" ref="G5:K67" si="2">B5/B6-1</f>
        <v>-2.9702970297029729E-2</v>
      </c>
      <c r="H5" s="14">
        <f t="shared" si="0"/>
        <v>-1.1099899091826404E-2</v>
      </c>
      <c r="I5" s="14">
        <f t="shared" si="0"/>
        <v>3.92749244712991E-2</v>
      </c>
      <c r="J5" s="14">
        <f t="shared" si="0"/>
        <v>-2.604166666666663E-2</v>
      </c>
      <c r="K5" s="14">
        <f t="shared" si="0"/>
        <v>-1.744186046511631E-2</v>
      </c>
      <c r="L5" s="1"/>
      <c r="M5" s="33" t="s">
        <v>12</v>
      </c>
      <c r="N5" s="36">
        <f>AVERAGE(H4:H455)</f>
        <v>1.7525797634170093E-3</v>
      </c>
      <c r="O5" s="26">
        <v>0.2</v>
      </c>
      <c r="P5" s="37">
        <f>_xlfn.VAR.S(H4:H455)</f>
        <v>6.2029231838764095E-4</v>
      </c>
      <c r="Q5" s="100">
        <f>SQRT(P5)</f>
        <v>2.4905668398732865E-2</v>
      </c>
      <c r="R5" s="39">
        <f t="shared" ref="R5:R8" si="3">N5*O5</f>
        <v>3.5051595268340187E-4</v>
      </c>
      <c r="S5" s="45" t="s">
        <v>11</v>
      </c>
      <c r="T5" s="29">
        <f>_xlfn.COVARIANCE.S(G4:G455,G4:G455)</f>
        <v>1.0938749246029867E-3</v>
      </c>
      <c r="U5" s="22">
        <f>_xlfn.COVARIANCE.S(G4:G455,H4:H455)</f>
        <v>4.0253244724493199E-4</v>
      </c>
      <c r="V5" s="22">
        <f>_xlfn.COVARIANCE.S(G4:G455,I4:I455)</f>
        <v>5.4749132963705864E-4</v>
      </c>
      <c r="W5" s="22">
        <f>_xlfn.COVARIANCE.S(G4:G455,J4:J455)</f>
        <v>1.6169279274742788E-4</v>
      </c>
      <c r="X5" s="46">
        <f>_xlfn.COVARIANCE.S(G4:G455,K4:K455)</f>
        <v>2.932471774427577E-4</v>
      </c>
      <c r="Y5" s="15"/>
      <c r="Z5" s="3" t="s">
        <v>33</v>
      </c>
      <c r="AA5" s="28">
        <f>$R$9</f>
        <v>2.3298160755338805E-3</v>
      </c>
      <c r="AB5" s="16"/>
      <c r="AC5" s="15" t="s">
        <v>12</v>
      </c>
      <c r="AD5" s="103">
        <f t="shared" ref="AD5:AD8" si="4">INDEX($O$4:$O$8,MATCH($AC5,$M$4:$M$8,0))*INDEX($O$4:$O$8,MATCH(AD$3,$M$4:$M$8,0))*T6</f>
        <v>1.6101297889797282E-5</v>
      </c>
      <c r="AE5" s="103">
        <f t="shared" ref="AE4:AE8" si="5">INDEX($O$4:$O$8,MATCH($AC5,$M$4:$M$8,0))*INDEX($O$4:$O$8,MATCH(AE$3,$M$4:$M$8,0))*U6</f>
        <v>2.4811692735505599E-5</v>
      </c>
      <c r="AF5" s="103">
        <f t="shared" ref="AF4:AF8" si="6">INDEX($O$4:$O$8,MATCH($AC5,$M$4:$M$8,0))*INDEX($O$4:$O$8,MATCH(AF$3,$M$4:$M$8,0))*V6</f>
        <v>1.194336419542377E-5</v>
      </c>
      <c r="AG5" s="103">
        <f t="shared" si="1"/>
        <v>4.71281754941652E-6</v>
      </c>
      <c r="AH5" s="103">
        <f t="shared" ref="AH4:AH8" si="7">INDEX($O$4:$O$8,MATCH($AC5,$M$4:$M$8,0))*INDEX($O$4:$O$8,MATCH(AH$3,$M$4:$M$8,0))*X6</f>
        <v>1.0044977827557515E-5</v>
      </c>
    </row>
    <row r="6" spans="1:37" ht="16" thickBot="1" x14ac:dyDescent="0.4">
      <c r="A6" s="12">
        <v>44991</v>
      </c>
      <c r="B6" s="20">
        <v>30300</v>
      </c>
      <c r="C6" s="20">
        <v>49550</v>
      </c>
      <c r="D6" s="20">
        <v>33100</v>
      </c>
      <c r="E6" s="20">
        <v>48000</v>
      </c>
      <c r="F6" s="20">
        <v>68800</v>
      </c>
      <c r="G6" s="14">
        <f t="shared" si="2"/>
        <v>6.6445182724252927E-3</v>
      </c>
      <c r="H6" s="14">
        <f t="shared" si="0"/>
        <v>3.0364372469635637E-3</v>
      </c>
      <c r="I6" s="14">
        <f t="shared" si="0"/>
        <v>-6.0060060060059817E-3</v>
      </c>
      <c r="J6" s="14">
        <f t="shared" si="0"/>
        <v>-1.6393442622950838E-2</v>
      </c>
      <c r="K6" s="14">
        <f t="shared" si="0"/>
        <v>-1.7142857142857126E-2</v>
      </c>
      <c r="L6" s="1"/>
      <c r="M6" s="33" t="s">
        <v>13</v>
      </c>
      <c r="N6" s="36">
        <f>AVERAGE(I4:I455)</f>
        <v>3.4928059352298175E-3</v>
      </c>
      <c r="O6" s="26">
        <v>0.2</v>
      </c>
      <c r="P6" s="37">
        <f>_xlfn.VAR.S(I4:I455)</f>
        <v>1.1235409040893094E-3</v>
      </c>
      <c r="Q6" s="100">
        <f>SQRT(P6)</f>
        <v>3.3519261687711882E-2</v>
      </c>
      <c r="R6" s="39">
        <f t="shared" si="3"/>
        <v>6.9856118704596357E-4</v>
      </c>
      <c r="S6" s="45" t="s">
        <v>12</v>
      </c>
      <c r="T6" s="23">
        <f>_xlfn.COVARIANCE.S(H4:H455,G4:G455)</f>
        <v>4.0253244724493199E-4</v>
      </c>
      <c r="U6" s="29">
        <f>_xlfn.COVARIANCE.S(H4:H455,H4:H455)</f>
        <v>6.2029231838763986E-4</v>
      </c>
      <c r="V6" s="22">
        <f>_xlfn.COVARIANCE.S(H4:H455,I4:I455)</f>
        <v>2.985841048855942E-4</v>
      </c>
      <c r="W6" s="22">
        <f>_xlfn.COVARIANCE.S(H4:H455,J4:J455)</f>
        <v>1.1782043873541298E-4</v>
      </c>
      <c r="X6" s="46">
        <f>_xlfn.COVARIANCE.S(H4:H455,K4:K455)</f>
        <v>2.5112444568893783E-4</v>
      </c>
      <c r="Y6" s="15"/>
      <c r="Z6" s="5" t="s">
        <v>6</v>
      </c>
      <c r="AA6" s="31">
        <f>(AA5-V28)/AA4</f>
        <v>0.11629444165961421</v>
      </c>
      <c r="AB6" s="16"/>
      <c r="AC6" s="15" t="s">
        <v>13</v>
      </c>
      <c r="AD6" s="103">
        <f t="shared" si="4"/>
        <v>2.1899653185482351E-5</v>
      </c>
      <c r="AE6" s="103">
        <f t="shared" si="5"/>
        <v>1.194336419542377E-5</v>
      </c>
      <c r="AF6" s="103">
        <f t="shared" si="6"/>
        <v>4.4941636163572439E-5</v>
      </c>
      <c r="AG6" s="103">
        <f t="shared" si="1"/>
        <v>3.9432352058679389E-6</v>
      </c>
      <c r="AH6" s="103">
        <f t="shared" si="7"/>
        <v>8.9458106998024044E-6</v>
      </c>
    </row>
    <row r="7" spans="1:37" x14ac:dyDescent="0.35">
      <c r="A7" s="12">
        <v>44988</v>
      </c>
      <c r="B7" s="20">
        <v>30100</v>
      </c>
      <c r="C7" s="20">
        <v>49400</v>
      </c>
      <c r="D7" s="20">
        <v>33300</v>
      </c>
      <c r="E7" s="20">
        <v>48800</v>
      </c>
      <c r="F7" s="20">
        <v>70000</v>
      </c>
      <c r="G7" s="14">
        <f t="shared" si="2"/>
        <v>-1.3114754098360604E-2</v>
      </c>
      <c r="H7" s="14">
        <f t="shared" si="0"/>
        <v>-1.2000000000000011E-2</v>
      </c>
      <c r="I7" s="14">
        <f t="shared" si="0"/>
        <v>1.5243902439024293E-2</v>
      </c>
      <c r="J7" s="14">
        <f t="shared" si="0"/>
        <v>4.115226337448652E-3</v>
      </c>
      <c r="K7" s="14">
        <f t="shared" si="0"/>
        <v>1.4306151645206988E-3</v>
      </c>
      <c r="L7" s="1"/>
      <c r="M7" s="33" t="s">
        <v>14</v>
      </c>
      <c r="N7" s="36">
        <f>AVERAGE(J4:J455)</f>
        <v>1.1159312585390282E-3</v>
      </c>
      <c r="O7" s="26">
        <v>0.2</v>
      </c>
      <c r="P7" s="37">
        <f>_xlfn.VAR.S(J4:J455)</f>
        <v>2.494393870300391E-4</v>
      </c>
      <c r="Q7" s="100">
        <f>SQRT(P7)</f>
        <v>1.5793650212349238E-2</v>
      </c>
      <c r="R7" s="39">
        <f t="shared" si="3"/>
        <v>2.2318625170780564E-4</v>
      </c>
      <c r="S7" s="45" t="s">
        <v>13</v>
      </c>
      <c r="T7" s="23">
        <f>_xlfn.COVARIANCE.S(I4:I455,G4:G455)</f>
        <v>5.4749132963705864E-4</v>
      </c>
      <c r="U7" s="23">
        <f>_xlfn.COVARIANCE.S(I4:I455,H4:H455)</f>
        <v>2.985841048855942E-4</v>
      </c>
      <c r="V7" s="29">
        <f>_xlfn.COVARIANCE.S(I4:I455,I4:I455)</f>
        <v>1.1235409040893107E-3</v>
      </c>
      <c r="W7" s="22">
        <f>_xlfn.COVARIANCE.S(I4:I455,J4:J455)</f>
        <v>9.8580880146698451E-5</v>
      </c>
      <c r="X7" s="46">
        <f>_xlfn.COVARIANCE.S(I4:I455,K4:K455)</f>
        <v>2.2364526749506008E-4</v>
      </c>
      <c r="Y7" s="15"/>
      <c r="Z7" s="16"/>
      <c r="AA7" s="16"/>
      <c r="AB7" s="16"/>
      <c r="AC7" s="15" t="s">
        <v>14</v>
      </c>
      <c r="AD7" s="103">
        <f t="shared" si="4"/>
        <v>6.4677117098971163E-6</v>
      </c>
      <c r="AE7" s="103">
        <f t="shared" si="5"/>
        <v>4.71281754941652E-6</v>
      </c>
      <c r="AF7" s="103">
        <f t="shared" si="6"/>
        <v>3.9432352058679389E-6</v>
      </c>
      <c r="AG7" s="103">
        <f t="shared" si="1"/>
        <v>9.9775754812015577E-6</v>
      </c>
      <c r="AH7" s="103">
        <f t="shared" si="7"/>
        <v>3.717764515960747E-6</v>
      </c>
    </row>
    <row r="8" spans="1:37" x14ac:dyDescent="0.35">
      <c r="A8" s="12">
        <v>44987</v>
      </c>
      <c r="B8" s="20">
        <v>30500</v>
      </c>
      <c r="C8" s="20">
        <v>50000</v>
      </c>
      <c r="D8" s="20">
        <v>32800</v>
      </c>
      <c r="E8" s="20">
        <v>48600</v>
      </c>
      <c r="F8" s="20">
        <v>69900</v>
      </c>
      <c r="G8" s="14">
        <f t="shared" si="2"/>
        <v>6.2717770034843134E-2</v>
      </c>
      <c r="H8" s="14">
        <f t="shared" si="0"/>
        <v>1.2145748987854255E-2</v>
      </c>
      <c r="I8" s="14">
        <f t="shared" si="0"/>
        <v>2.1806853582554409E-2</v>
      </c>
      <c r="J8" s="14">
        <f t="shared" si="0"/>
        <v>1.2499999999999956E-2</v>
      </c>
      <c r="K8" s="14">
        <f t="shared" si="0"/>
        <v>4.0178571428571397E-2</v>
      </c>
      <c r="L8" s="1"/>
      <c r="M8" s="33" t="s">
        <v>15</v>
      </c>
      <c r="N8" s="36">
        <f>AVERAGE(K4:K455)</f>
        <v>3.6354618594180033E-3</v>
      </c>
      <c r="O8" s="26">
        <v>0.2</v>
      </c>
      <c r="P8" s="37">
        <f>_xlfn.VAR.S(K4:K455)</f>
        <v>9.23869982474531E-4</v>
      </c>
      <c r="Q8" s="100">
        <f>SQRT(P8)</f>
        <v>3.0395229600622051E-2</v>
      </c>
      <c r="R8" s="39">
        <f t="shared" si="3"/>
        <v>7.2709237188360067E-4</v>
      </c>
      <c r="S8" s="45" t="s">
        <v>14</v>
      </c>
      <c r="T8" s="23">
        <f>_xlfn.COVARIANCE.S(J4:J455,G4:G455)</f>
        <v>1.6169279274742788E-4</v>
      </c>
      <c r="U8" s="23">
        <f>_xlfn.COVARIANCE.S(J4:J455,H4:H455)</f>
        <v>1.1782043873541298E-4</v>
      </c>
      <c r="V8" s="23">
        <f>_xlfn.COVARIANCE.S(J4:J455,I4:I455)</f>
        <v>9.8580880146698451E-5</v>
      </c>
      <c r="W8" s="30">
        <f>_xlfn.COVARIANCE.S(J4:J455,J4:J455)</f>
        <v>2.4943938703003889E-4</v>
      </c>
      <c r="X8" s="46">
        <f>_xlfn.COVARIANCE.S(J4:J455,K4:K455)</f>
        <v>9.2944112899018662E-5</v>
      </c>
      <c r="Y8" s="15"/>
      <c r="Z8" s="16"/>
      <c r="AA8" s="16"/>
      <c r="AB8" s="16"/>
      <c r="AC8" s="15" t="s">
        <v>15</v>
      </c>
      <c r="AD8" s="103">
        <f t="shared" si="4"/>
        <v>1.1729887097710311E-5</v>
      </c>
      <c r="AE8" s="103">
        <f t="shared" si="5"/>
        <v>1.0044977827557515E-5</v>
      </c>
      <c r="AF8" s="103">
        <f t="shared" si="6"/>
        <v>8.9458106998024044E-6</v>
      </c>
      <c r="AG8" s="103">
        <f t="shared" si="1"/>
        <v>3.717764515960747E-6</v>
      </c>
      <c r="AH8" s="103">
        <f t="shared" si="7"/>
        <v>3.6954799298981276E-5</v>
      </c>
    </row>
    <row r="9" spans="1:37" ht="16" thickBot="1" x14ac:dyDescent="0.4">
      <c r="A9" s="12">
        <v>44986</v>
      </c>
      <c r="B9" s="20">
        <v>28700</v>
      </c>
      <c r="C9" s="20">
        <v>49400</v>
      </c>
      <c r="D9" s="20">
        <v>32100</v>
      </c>
      <c r="E9" s="20">
        <v>48000</v>
      </c>
      <c r="F9" s="20">
        <v>67200</v>
      </c>
      <c r="G9" s="14">
        <f t="shared" si="2"/>
        <v>-1.0344827586206917E-2</v>
      </c>
      <c r="H9" s="14">
        <f t="shared" si="0"/>
        <v>4.2194092827004148E-2</v>
      </c>
      <c r="I9" s="14">
        <f t="shared" si="0"/>
        <v>-9.2592592592593004E-3</v>
      </c>
      <c r="J9" s="14">
        <f t="shared" si="0"/>
        <v>-1.0309278350515427E-2</v>
      </c>
      <c r="K9" s="14">
        <f t="shared" si="0"/>
        <v>2.9850746268655914E-3</v>
      </c>
      <c r="L9" s="1"/>
      <c r="M9" s="40" t="s">
        <v>17</v>
      </c>
      <c r="N9" s="41"/>
      <c r="O9" s="42">
        <f>SUM(O4:O8)</f>
        <v>1</v>
      </c>
      <c r="P9" s="43"/>
      <c r="Q9" s="43"/>
      <c r="R9" s="44">
        <f>SUM(R4:R8)</f>
        <v>2.3298160755338805E-3</v>
      </c>
      <c r="S9" s="47" t="s">
        <v>15</v>
      </c>
      <c r="T9" s="24">
        <f>_xlfn.COVARIANCE.S(K4:K455,G4:G455)</f>
        <v>2.932471774427577E-4</v>
      </c>
      <c r="U9" s="24">
        <f>_xlfn.COVARIANCE.S(K4:K455,H4:H455)</f>
        <v>2.5112444568893783E-4</v>
      </c>
      <c r="V9" s="24">
        <f>_xlfn.COVARIANCE.S(K4:K455,I4:I455)</f>
        <v>2.2364526749506008E-4</v>
      </c>
      <c r="W9" s="24">
        <f>_xlfn.COVARIANCE.S(K4:K455,J4:J455)</f>
        <v>9.2944112899018662E-5</v>
      </c>
      <c r="X9" s="48">
        <f>_xlfn.COVARIANCE.S(K4:K455,K4:K455)</f>
        <v>9.2386998247453165E-4</v>
      </c>
      <c r="Y9" s="15"/>
      <c r="Z9" s="16"/>
      <c r="AA9" s="16"/>
      <c r="AB9" s="16"/>
      <c r="AC9" s="15" t="s">
        <v>36</v>
      </c>
      <c r="AD9" s="104">
        <f>SUM(AD4:AH8)</f>
        <v>3.5945374041721227E-4</v>
      </c>
    </row>
    <row r="10" spans="1:37" ht="16" thickBot="1" x14ac:dyDescent="0.4">
      <c r="A10" s="12">
        <v>44985</v>
      </c>
      <c r="B10" s="20">
        <v>29000</v>
      </c>
      <c r="C10" s="20">
        <v>47400</v>
      </c>
      <c r="D10" s="20">
        <v>32400</v>
      </c>
      <c r="E10" s="20">
        <v>48500</v>
      </c>
      <c r="F10" s="20">
        <v>67000</v>
      </c>
      <c r="G10" s="14">
        <f t="shared" si="2"/>
        <v>1.3986013986013957E-2</v>
      </c>
      <c r="H10" s="14">
        <f t="shared" si="0"/>
        <v>-4.723618090452264E-2</v>
      </c>
      <c r="I10" s="14">
        <f t="shared" si="0"/>
        <v>2.208201892744488E-2</v>
      </c>
      <c r="J10" s="14">
        <f t="shared" si="0"/>
        <v>4.1407867494824835E-3</v>
      </c>
      <c r="K10" s="14">
        <f t="shared" si="0"/>
        <v>-5.9347181008901906E-3</v>
      </c>
      <c r="L10" s="1"/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37" ht="16" thickBot="1" x14ac:dyDescent="0.4">
      <c r="A11" s="12">
        <v>44984</v>
      </c>
      <c r="B11" s="20">
        <v>28600</v>
      </c>
      <c r="C11" s="20">
        <v>49750</v>
      </c>
      <c r="D11" s="20">
        <v>31700</v>
      </c>
      <c r="E11" s="20">
        <v>48300</v>
      </c>
      <c r="F11" s="20">
        <v>67400</v>
      </c>
      <c r="G11" s="14">
        <f t="shared" si="2"/>
        <v>3.5087719298245723E-3</v>
      </c>
      <c r="H11" s="14">
        <f t="shared" si="0"/>
        <v>7.0850202429149078E-3</v>
      </c>
      <c r="I11" s="14">
        <f t="shared" si="0"/>
        <v>-2.1604938271604923E-2</v>
      </c>
      <c r="J11" s="14">
        <f t="shared" si="0"/>
        <v>5.921052631578938E-2</v>
      </c>
      <c r="K11" s="14">
        <f t="shared" si="0"/>
        <v>-1.027900146842875E-2</v>
      </c>
      <c r="L11" s="1"/>
      <c r="M11" s="86" t="s">
        <v>27</v>
      </c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8"/>
      <c r="Z11" s="1"/>
      <c r="AA11" s="1"/>
    </row>
    <row r="12" spans="1:37" x14ac:dyDescent="0.35">
      <c r="A12" s="12">
        <v>44981</v>
      </c>
      <c r="B12" s="20">
        <v>28500</v>
      </c>
      <c r="C12" s="20">
        <v>49400</v>
      </c>
      <c r="D12" s="20">
        <v>32400</v>
      </c>
      <c r="E12" s="20">
        <v>45600</v>
      </c>
      <c r="F12" s="20">
        <v>68100</v>
      </c>
      <c r="G12" s="14">
        <f t="shared" si="2"/>
        <v>-1.041666666666663E-2</v>
      </c>
      <c r="H12" s="14">
        <f t="shared" si="0"/>
        <v>-2.0202020202020332E-3</v>
      </c>
      <c r="I12" s="14">
        <f t="shared" si="0"/>
        <v>-1.8181818181818188E-2</v>
      </c>
      <c r="J12" s="14">
        <f t="shared" si="0"/>
        <v>1.4460511679644128E-2</v>
      </c>
      <c r="K12" s="14">
        <f t="shared" si="0"/>
        <v>-5.839416058394109E-3</v>
      </c>
      <c r="L12" s="1"/>
      <c r="M12" s="2" t="s">
        <v>11</v>
      </c>
      <c r="N12" s="25"/>
      <c r="O12" s="21"/>
      <c r="P12" s="25"/>
      <c r="Q12" s="25"/>
      <c r="R12" s="25"/>
      <c r="S12" s="25"/>
      <c r="T12" s="25"/>
      <c r="U12" s="25"/>
      <c r="V12" s="21"/>
      <c r="W12" s="25"/>
      <c r="X12" s="25"/>
      <c r="Y12" s="26"/>
    </row>
    <row r="13" spans="1:37" x14ac:dyDescent="0.35">
      <c r="A13" s="12">
        <v>44980</v>
      </c>
      <c r="B13" s="20">
        <v>28800</v>
      </c>
      <c r="C13" s="20">
        <v>49500</v>
      </c>
      <c r="D13" s="20">
        <v>33000</v>
      </c>
      <c r="E13" s="20">
        <v>44950</v>
      </c>
      <c r="F13" s="20">
        <v>68500</v>
      </c>
      <c r="G13" s="14">
        <f t="shared" si="2"/>
        <v>-1.3698630136986356E-2</v>
      </c>
      <c r="H13" s="14">
        <f t="shared" si="0"/>
        <v>-1.19760479041916E-2</v>
      </c>
      <c r="I13" s="14">
        <f t="shared" si="0"/>
        <v>-2.3668639053254448E-2</v>
      </c>
      <c r="J13" s="14">
        <f t="shared" si="0"/>
        <v>-1.2087912087912045E-2</v>
      </c>
      <c r="K13" s="14">
        <f t="shared" si="0"/>
        <v>3.1626506024096335E-2</v>
      </c>
      <c r="L13" s="1"/>
      <c r="M13" s="2" t="s">
        <v>12</v>
      </c>
      <c r="N13" s="25"/>
      <c r="O13" s="21"/>
      <c r="P13" s="25"/>
      <c r="Q13" s="25"/>
      <c r="R13" s="25"/>
      <c r="S13" s="25"/>
      <c r="T13" s="25"/>
      <c r="U13" s="25"/>
      <c r="V13" s="21"/>
      <c r="W13" s="25"/>
      <c r="X13" s="25"/>
      <c r="Y13" s="26"/>
    </row>
    <row r="14" spans="1:37" x14ac:dyDescent="0.35">
      <c r="A14" s="12">
        <v>44979</v>
      </c>
      <c r="B14" s="20">
        <v>29200</v>
      </c>
      <c r="C14" s="20">
        <v>50100</v>
      </c>
      <c r="D14" s="20">
        <v>33800</v>
      </c>
      <c r="E14" s="20">
        <v>45500</v>
      </c>
      <c r="F14" s="20">
        <v>66400</v>
      </c>
      <c r="G14" s="14">
        <f t="shared" si="2"/>
        <v>-1.016949152542368E-2</v>
      </c>
      <c r="H14" s="14">
        <f t="shared" si="0"/>
        <v>-1.1834319526627168E-2</v>
      </c>
      <c r="I14" s="14">
        <f t="shared" si="0"/>
        <v>-2.5936599423631135E-2</v>
      </c>
      <c r="J14" s="14">
        <f t="shared" si="0"/>
        <v>-5.464480874316946E-3</v>
      </c>
      <c r="K14" s="14">
        <f t="shared" si="0"/>
        <v>2.6275115919629055E-2</v>
      </c>
      <c r="L14" s="1"/>
      <c r="M14" s="2" t="s">
        <v>13</v>
      </c>
      <c r="N14" s="25"/>
      <c r="O14" s="21"/>
      <c r="P14" s="25"/>
      <c r="Q14" s="25"/>
      <c r="R14" s="25"/>
      <c r="S14" s="25"/>
      <c r="T14" s="25"/>
      <c r="U14" s="25"/>
      <c r="V14" s="21"/>
      <c r="W14" s="25"/>
      <c r="X14" s="25"/>
      <c r="Y14" s="26"/>
    </row>
    <row r="15" spans="1:37" x14ac:dyDescent="0.35">
      <c r="A15" s="12">
        <v>44978</v>
      </c>
      <c r="B15" s="20">
        <v>29500</v>
      </c>
      <c r="C15" s="20">
        <v>50700</v>
      </c>
      <c r="D15" s="20">
        <v>34700</v>
      </c>
      <c r="E15" s="20">
        <v>45750</v>
      </c>
      <c r="F15" s="20">
        <v>64700</v>
      </c>
      <c r="G15" s="14">
        <f t="shared" si="2"/>
        <v>2.7874564459930307E-2</v>
      </c>
      <c r="H15" s="14">
        <f t="shared" si="0"/>
        <v>5.9523809523809312E-3</v>
      </c>
      <c r="I15" s="14">
        <f t="shared" si="0"/>
        <v>2.0588235294117574E-2</v>
      </c>
      <c r="J15" s="14">
        <f t="shared" si="0"/>
        <v>1.3289036544850585E-2</v>
      </c>
      <c r="K15" s="14">
        <f t="shared" si="0"/>
        <v>-3.7202380952380931E-2</v>
      </c>
      <c r="L15" s="1"/>
      <c r="M15" s="2" t="s">
        <v>14</v>
      </c>
      <c r="N15" s="25"/>
      <c r="O15" s="21"/>
      <c r="P15" s="25"/>
      <c r="Q15" s="25"/>
      <c r="R15" s="25"/>
      <c r="S15" s="25"/>
      <c r="T15" s="25"/>
      <c r="U15" s="25"/>
      <c r="V15" s="21"/>
      <c r="W15" s="25"/>
      <c r="X15" s="25"/>
      <c r="Y15" s="26"/>
    </row>
    <row r="16" spans="1:37" x14ac:dyDescent="0.35">
      <c r="A16" s="12">
        <v>44977</v>
      </c>
      <c r="B16" s="20">
        <v>28700</v>
      </c>
      <c r="C16" s="20">
        <v>50400</v>
      </c>
      <c r="D16" s="20">
        <v>34000</v>
      </c>
      <c r="E16" s="20">
        <v>45150</v>
      </c>
      <c r="F16" s="20">
        <v>67200</v>
      </c>
      <c r="G16" s="14">
        <f t="shared" si="2"/>
        <v>0</v>
      </c>
      <c r="H16" s="14">
        <f t="shared" si="0"/>
        <v>1.5105740181268867E-2</v>
      </c>
      <c r="I16" s="14">
        <f t="shared" si="0"/>
        <v>3.0303030303030276E-2</v>
      </c>
      <c r="J16" s="14">
        <f t="shared" si="0"/>
        <v>2.6136363636363624E-2</v>
      </c>
      <c r="K16" s="14">
        <f t="shared" si="0"/>
        <v>-1.1764705882352899E-2</v>
      </c>
      <c r="L16" s="1"/>
      <c r="M16" s="2" t="s">
        <v>15</v>
      </c>
      <c r="N16" s="25"/>
      <c r="O16" s="21"/>
      <c r="P16" s="25"/>
      <c r="Q16" s="25"/>
      <c r="R16" s="25"/>
      <c r="S16" s="25"/>
      <c r="T16" s="25"/>
      <c r="U16" s="25"/>
      <c r="V16" s="21"/>
      <c r="W16" s="25"/>
      <c r="X16" s="25"/>
      <c r="Y16" s="26"/>
    </row>
    <row r="17" spans="1:27" x14ac:dyDescent="0.35">
      <c r="A17" s="12">
        <v>44974</v>
      </c>
      <c r="B17" s="20">
        <v>28700</v>
      </c>
      <c r="C17" s="20">
        <v>49650</v>
      </c>
      <c r="D17" s="20">
        <v>33000</v>
      </c>
      <c r="E17" s="20">
        <v>44000</v>
      </c>
      <c r="F17" s="20">
        <v>68000</v>
      </c>
      <c r="G17" s="14">
        <f t="shared" si="2"/>
        <v>-3.4722222222222099E-3</v>
      </c>
      <c r="H17" s="14">
        <f t="shared" si="0"/>
        <v>-7.0000000000000062E-3</v>
      </c>
      <c r="I17" s="14">
        <f t="shared" si="0"/>
        <v>1.2269938650306678E-2</v>
      </c>
      <c r="J17" s="14">
        <f t="shared" si="0"/>
        <v>2.564102564102555E-2</v>
      </c>
      <c r="K17" s="14">
        <f t="shared" si="0"/>
        <v>0</v>
      </c>
      <c r="L17" s="1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53"/>
    </row>
    <row r="18" spans="1:27" x14ac:dyDescent="0.35">
      <c r="A18" s="12">
        <v>44973</v>
      </c>
      <c r="B18" s="20">
        <v>28800</v>
      </c>
      <c r="C18" s="20">
        <v>50000</v>
      </c>
      <c r="D18" s="20">
        <v>32600</v>
      </c>
      <c r="E18" s="20">
        <v>42900</v>
      </c>
      <c r="F18" s="20">
        <v>68000</v>
      </c>
      <c r="G18" s="14">
        <f t="shared" si="2"/>
        <v>-1.3698630136986356E-2</v>
      </c>
      <c r="H18" s="14">
        <f t="shared" si="0"/>
        <v>-9.9009900990099098E-3</v>
      </c>
      <c r="I18" s="14">
        <f t="shared" si="0"/>
        <v>-6.0975609756097615E-3</v>
      </c>
      <c r="J18" s="14">
        <f t="shared" si="0"/>
        <v>-5.7937427578215184E-3</v>
      </c>
      <c r="K18" s="14">
        <f t="shared" si="0"/>
        <v>7.4074074074073071E-3</v>
      </c>
      <c r="L18" s="1"/>
      <c r="M18" s="2" t="s">
        <v>19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28"/>
    </row>
    <row r="19" spans="1:27" x14ac:dyDescent="0.35">
      <c r="A19" s="12">
        <v>44972</v>
      </c>
      <c r="B19" s="20">
        <v>29200</v>
      </c>
      <c r="C19" s="20">
        <v>50500</v>
      </c>
      <c r="D19" s="20">
        <v>32800</v>
      </c>
      <c r="E19" s="20">
        <v>43150</v>
      </c>
      <c r="F19" s="20">
        <v>67500</v>
      </c>
      <c r="G19" s="14">
        <f t="shared" si="2"/>
        <v>2.4561403508772006E-2</v>
      </c>
      <c r="H19" s="14">
        <f t="shared" si="0"/>
        <v>5.9760956175298752E-3</v>
      </c>
      <c r="I19" s="14">
        <f t="shared" si="0"/>
        <v>-6.0606060606060996E-3</v>
      </c>
      <c r="J19" s="14">
        <f t="shared" si="0"/>
        <v>-6.9044879171461515E-3</v>
      </c>
      <c r="K19" s="14">
        <f t="shared" si="0"/>
        <v>-8.8105726872246271E-3</v>
      </c>
      <c r="L19" s="1"/>
      <c r="M19" s="2" t="s">
        <v>3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5"/>
    </row>
    <row r="20" spans="1:27" x14ac:dyDescent="0.35">
      <c r="A20" s="12">
        <v>44971</v>
      </c>
      <c r="B20" s="20">
        <v>28500</v>
      </c>
      <c r="C20" s="20">
        <v>50200</v>
      </c>
      <c r="D20" s="20">
        <v>33000</v>
      </c>
      <c r="E20" s="20">
        <v>43450</v>
      </c>
      <c r="F20" s="20">
        <v>68100</v>
      </c>
      <c r="G20" s="14">
        <f t="shared" si="2"/>
        <v>3.5211267605634866E-3</v>
      </c>
      <c r="H20" s="14">
        <f t="shared" si="2"/>
        <v>-1.3752455795677854E-2</v>
      </c>
      <c r="I20" s="14">
        <f t="shared" si="2"/>
        <v>-6.0240963855421326E-3</v>
      </c>
      <c r="J20" s="14">
        <f t="shared" si="2"/>
        <v>-6.857142857142895E-3</v>
      </c>
      <c r="K20" s="14">
        <f t="shared" si="2"/>
        <v>-2.0143884892086295E-2</v>
      </c>
      <c r="L20" s="1"/>
      <c r="M20" s="2" t="s">
        <v>32</v>
      </c>
      <c r="N20" s="56">
        <v>5.0000000000000001E-4</v>
      </c>
      <c r="O20" s="56">
        <v>1E-3</v>
      </c>
      <c r="P20" s="56">
        <v>1.5E-3</v>
      </c>
      <c r="Q20" s="56">
        <v>2E-3</v>
      </c>
      <c r="R20" s="56">
        <v>2.5000000000000001E-3</v>
      </c>
      <c r="S20" s="56">
        <v>3.0000000000000001E-3</v>
      </c>
      <c r="T20" s="56">
        <v>3.5000000000000001E-3</v>
      </c>
      <c r="U20" s="56">
        <v>4.0000000000000001E-3</v>
      </c>
      <c r="V20" s="56">
        <v>4.4999999999999997E-3</v>
      </c>
      <c r="W20" s="56">
        <v>5.0000000000000001E-3</v>
      </c>
      <c r="X20" s="56">
        <v>5.4999999999999997E-3</v>
      </c>
      <c r="Y20" s="57">
        <v>6.0000000000000001E-3</v>
      </c>
    </row>
    <row r="21" spans="1:27" ht="16" thickBot="1" x14ac:dyDescent="0.4">
      <c r="A21" s="12">
        <v>44970</v>
      </c>
      <c r="B21" s="20">
        <v>28400</v>
      </c>
      <c r="C21" s="20">
        <v>50900</v>
      </c>
      <c r="D21" s="20">
        <v>33200</v>
      </c>
      <c r="E21" s="20">
        <v>43750</v>
      </c>
      <c r="F21" s="20">
        <v>69500</v>
      </c>
      <c r="G21" s="14">
        <f t="shared" si="2"/>
        <v>0</v>
      </c>
      <c r="H21" s="14">
        <f t="shared" si="2"/>
        <v>-1.9267822736030782E-2</v>
      </c>
      <c r="I21" s="14">
        <f t="shared" si="2"/>
        <v>0</v>
      </c>
      <c r="J21" s="14">
        <f t="shared" si="2"/>
        <v>-1.4639639639639657E-2</v>
      </c>
      <c r="K21" s="14">
        <f t="shared" si="2"/>
        <v>-1.836158192090398E-2</v>
      </c>
      <c r="L21" s="1"/>
      <c r="M21" s="58" t="s">
        <v>6</v>
      </c>
      <c r="N21" s="59"/>
      <c r="O21" s="59"/>
      <c r="P21" s="59"/>
      <c r="Q21" s="59"/>
      <c r="R21" s="59"/>
      <c r="S21" s="72"/>
      <c r="T21" s="59"/>
      <c r="U21" s="59"/>
      <c r="V21" s="59"/>
      <c r="W21" s="59"/>
      <c r="X21" s="59"/>
      <c r="Y21" s="31"/>
    </row>
    <row r="22" spans="1:27" x14ac:dyDescent="0.35">
      <c r="A22" s="12">
        <v>44967</v>
      </c>
      <c r="B22" s="20">
        <v>28400</v>
      </c>
      <c r="C22" s="20">
        <v>51900</v>
      </c>
      <c r="D22" s="20">
        <v>33200</v>
      </c>
      <c r="E22" s="20">
        <v>44400</v>
      </c>
      <c r="F22" s="20">
        <v>70800</v>
      </c>
      <c r="G22" s="14">
        <f t="shared" si="2"/>
        <v>-1.388888888888884E-2</v>
      </c>
      <c r="H22" s="14">
        <f t="shared" si="2"/>
        <v>4.2168674698795261E-2</v>
      </c>
      <c r="I22" s="14">
        <f t="shared" si="2"/>
        <v>6.0606060606060996E-3</v>
      </c>
      <c r="J22" s="14">
        <f t="shared" si="2"/>
        <v>3.6172695449241621E-2</v>
      </c>
      <c r="K22" s="14">
        <f t="shared" si="2"/>
        <v>4.2553191489360653E-3</v>
      </c>
      <c r="L22" s="1"/>
      <c r="M22" s="1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"/>
      <c r="AA22" s="1"/>
    </row>
    <row r="23" spans="1:27" ht="16" thickBot="1" x14ac:dyDescent="0.4">
      <c r="A23" s="12">
        <v>44966</v>
      </c>
      <c r="B23" s="20">
        <v>28800</v>
      </c>
      <c r="C23" s="20">
        <v>49800</v>
      </c>
      <c r="D23" s="20">
        <v>33000</v>
      </c>
      <c r="E23" s="20">
        <v>42850</v>
      </c>
      <c r="F23" s="20">
        <v>70500</v>
      </c>
      <c r="G23" s="14">
        <f t="shared" si="2"/>
        <v>3.4843205574912606E-3</v>
      </c>
      <c r="H23" s="14">
        <f t="shared" si="2"/>
        <v>-4.0000000000000036E-3</v>
      </c>
      <c r="I23" s="14">
        <f t="shared" si="2"/>
        <v>-9.009009009009028E-3</v>
      </c>
      <c r="J23" s="14">
        <f t="shared" si="2"/>
        <v>4.6893317702227932E-3</v>
      </c>
      <c r="K23" s="14">
        <f t="shared" si="2"/>
        <v>2.0260492040520939E-2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5">
      <c r="A24" s="12">
        <v>44965</v>
      </c>
      <c r="B24" s="20">
        <v>28700</v>
      </c>
      <c r="C24" s="20">
        <v>50000</v>
      </c>
      <c r="D24" s="20">
        <v>33300</v>
      </c>
      <c r="E24" s="20">
        <v>42650</v>
      </c>
      <c r="F24" s="20">
        <v>69100</v>
      </c>
      <c r="G24" s="14">
        <f t="shared" si="2"/>
        <v>2.4999999999999911E-2</v>
      </c>
      <c r="H24" s="14">
        <f t="shared" si="2"/>
        <v>2.0040080160319551E-3</v>
      </c>
      <c r="I24" s="14">
        <f t="shared" si="2"/>
        <v>5.3797468354430444E-2</v>
      </c>
      <c r="J24" s="14">
        <f t="shared" si="2"/>
        <v>1.4268727705113005E-2</v>
      </c>
      <c r="K24" s="14">
        <f t="shared" si="2"/>
        <v>-7.1839080459770166E-3</v>
      </c>
      <c r="L24" s="1"/>
      <c r="M24" s="89" t="s">
        <v>31</v>
      </c>
      <c r="N24" s="90"/>
      <c r="O24" s="90"/>
      <c r="P24" s="91" t="s">
        <v>7</v>
      </c>
      <c r="Q24" s="92"/>
      <c r="R24" s="1"/>
      <c r="S24" s="93" t="s">
        <v>28</v>
      </c>
      <c r="T24" s="94"/>
      <c r="U24" s="94"/>
      <c r="V24" s="95"/>
      <c r="W24" s="7"/>
      <c r="X24" s="1"/>
      <c r="AA24" s="1"/>
    </row>
    <row r="25" spans="1:27" x14ac:dyDescent="0.35">
      <c r="A25" s="12">
        <v>44964</v>
      </c>
      <c r="B25" s="20">
        <v>28000</v>
      </c>
      <c r="C25" s="20">
        <v>49900</v>
      </c>
      <c r="D25" s="20">
        <v>31600</v>
      </c>
      <c r="E25" s="20">
        <v>42050</v>
      </c>
      <c r="F25" s="20">
        <v>69600</v>
      </c>
      <c r="G25" s="14">
        <f t="shared" si="2"/>
        <v>-2.4390243902439046E-2</v>
      </c>
      <c r="H25" s="14">
        <f t="shared" si="2"/>
        <v>-2.0000000000000018E-3</v>
      </c>
      <c r="I25" s="14">
        <f t="shared" si="2"/>
        <v>-1.5576323987538943E-2</v>
      </c>
      <c r="J25" s="14">
        <f t="shared" si="2"/>
        <v>-5.9101654846335228E-3</v>
      </c>
      <c r="K25" s="14">
        <f t="shared" si="2"/>
        <v>1.1627906976744207E-2</v>
      </c>
      <c r="L25" s="1"/>
      <c r="M25" s="2" t="s">
        <v>19</v>
      </c>
      <c r="N25" s="19"/>
      <c r="O25" s="1"/>
      <c r="P25" s="2" t="s">
        <v>11</v>
      </c>
      <c r="Q25" s="26"/>
      <c r="R25" s="1"/>
      <c r="S25" s="61" t="s">
        <v>8</v>
      </c>
      <c r="T25" s="62"/>
      <c r="U25" s="62"/>
      <c r="V25" s="63">
        <v>0.5</v>
      </c>
      <c r="W25" s="8"/>
      <c r="X25" s="1"/>
      <c r="AA25" s="1"/>
    </row>
    <row r="26" spans="1:27" x14ac:dyDescent="0.35">
      <c r="A26" s="12">
        <v>44963</v>
      </c>
      <c r="B26" s="20">
        <v>28700</v>
      </c>
      <c r="C26" s="20">
        <v>50000</v>
      </c>
      <c r="D26" s="20">
        <v>32100</v>
      </c>
      <c r="E26" s="20">
        <v>42300</v>
      </c>
      <c r="F26" s="20">
        <v>68800</v>
      </c>
      <c r="G26" s="14">
        <f t="shared" si="2"/>
        <v>1.4134275618374659E-2</v>
      </c>
      <c r="H26" s="14">
        <f t="shared" si="2"/>
        <v>1.0101010101010166E-2</v>
      </c>
      <c r="I26" s="14">
        <f t="shared" si="2"/>
        <v>-3.1055900621117516E-3</v>
      </c>
      <c r="J26" s="14">
        <f t="shared" si="2"/>
        <v>0</v>
      </c>
      <c r="K26" s="14">
        <f t="shared" si="2"/>
        <v>3.6144578313253017E-2</v>
      </c>
      <c r="L26" s="1"/>
      <c r="M26" s="2" t="s">
        <v>3</v>
      </c>
      <c r="N26" s="19"/>
      <c r="O26" s="1"/>
      <c r="P26" s="2" t="s">
        <v>12</v>
      </c>
      <c r="Q26" s="25"/>
      <c r="R26" s="3"/>
      <c r="S26" s="61" t="s">
        <v>24</v>
      </c>
      <c r="T26" s="62"/>
      <c r="U26" s="62"/>
      <c r="V26" s="28"/>
      <c r="W26" s="8"/>
      <c r="X26" s="1"/>
    </row>
    <row r="27" spans="1:27" x14ac:dyDescent="0.35">
      <c r="A27" s="12">
        <v>44960</v>
      </c>
      <c r="B27" s="20">
        <v>28300</v>
      </c>
      <c r="C27" s="20">
        <v>49500</v>
      </c>
      <c r="D27" s="20">
        <v>32200</v>
      </c>
      <c r="E27" s="20">
        <v>42300</v>
      </c>
      <c r="F27" s="20">
        <v>66400</v>
      </c>
      <c r="G27" s="14">
        <f t="shared" si="2"/>
        <v>1.4336917562723928E-2</v>
      </c>
      <c r="H27" s="14">
        <f t="shared" si="2"/>
        <v>-2.0161290322581182E-3</v>
      </c>
      <c r="I27" s="14">
        <f t="shared" si="2"/>
        <v>0</v>
      </c>
      <c r="J27" s="14">
        <f t="shared" si="2"/>
        <v>-1.1806375442738881E-3</v>
      </c>
      <c r="K27" s="14">
        <f t="shared" si="2"/>
        <v>-1.5037593984962294E-3</v>
      </c>
      <c r="L27" s="1"/>
      <c r="M27" s="2" t="s">
        <v>32</v>
      </c>
      <c r="N27" s="19"/>
      <c r="O27" s="1"/>
      <c r="P27" s="2" t="s">
        <v>13</v>
      </c>
      <c r="Q27" s="25"/>
      <c r="R27" s="3"/>
      <c r="S27" s="61" t="s">
        <v>25</v>
      </c>
      <c r="T27" s="62"/>
      <c r="U27" s="62"/>
      <c r="V27" s="28"/>
      <c r="W27" s="8"/>
      <c r="X27" s="1"/>
    </row>
    <row r="28" spans="1:27" x14ac:dyDescent="0.35">
      <c r="A28" s="12">
        <v>44959</v>
      </c>
      <c r="B28" s="20">
        <v>27900</v>
      </c>
      <c r="C28" s="20">
        <v>49600</v>
      </c>
      <c r="D28" s="20">
        <v>32200</v>
      </c>
      <c r="E28" s="20">
        <v>42350</v>
      </c>
      <c r="F28" s="20">
        <v>66500</v>
      </c>
      <c r="G28" s="14">
        <f t="shared" si="2"/>
        <v>-1.4134275618374548E-2</v>
      </c>
      <c r="H28" s="14">
        <f t="shared" si="2"/>
        <v>2.0202020202020332E-3</v>
      </c>
      <c r="I28" s="14">
        <f t="shared" si="2"/>
        <v>-2.1276595744680882E-2</v>
      </c>
      <c r="J28" s="14">
        <f t="shared" si="2"/>
        <v>-1.0514018691588745E-2</v>
      </c>
      <c r="K28" s="14">
        <f t="shared" si="2"/>
        <v>1.3719512195121908E-2</v>
      </c>
      <c r="L28" s="1"/>
      <c r="M28" s="2" t="s">
        <v>6</v>
      </c>
      <c r="N28" s="32"/>
      <c r="O28" s="1"/>
      <c r="P28" s="2" t="s">
        <v>14</v>
      </c>
      <c r="Q28" s="25"/>
      <c r="R28" s="3"/>
      <c r="S28" s="96" t="s">
        <v>18</v>
      </c>
      <c r="T28" s="97"/>
      <c r="U28" s="97"/>
      <c r="V28" s="64">
        <f>V29/365</f>
        <v>1.2495890410958903E-4</v>
      </c>
      <c r="W28" s="8"/>
      <c r="X28" s="1"/>
    </row>
    <row r="29" spans="1:27" ht="16" thickBot="1" x14ac:dyDescent="0.4">
      <c r="A29" s="12">
        <v>44958</v>
      </c>
      <c r="B29" s="20">
        <v>28300</v>
      </c>
      <c r="C29" s="20">
        <v>49500</v>
      </c>
      <c r="D29" s="20">
        <v>32900</v>
      </c>
      <c r="E29" s="20">
        <v>42800</v>
      </c>
      <c r="F29" s="20">
        <v>65600</v>
      </c>
      <c r="G29" s="14">
        <f t="shared" si="2"/>
        <v>8.0152671755725269E-2</v>
      </c>
      <c r="H29" s="14">
        <f t="shared" si="2"/>
        <v>5.3191489361702038E-2</v>
      </c>
      <c r="I29" s="14">
        <f t="shared" si="2"/>
        <v>2.4922118380062308E-2</v>
      </c>
      <c r="J29" s="14">
        <f t="shared" si="2"/>
        <v>2.3419203747072626E-3</v>
      </c>
      <c r="K29" s="14">
        <f t="shared" si="2"/>
        <v>2.1806853582554409E-2</v>
      </c>
      <c r="L29" s="1"/>
      <c r="M29" s="3"/>
      <c r="N29" s="1"/>
      <c r="O29" s="1"/>
      <c r="P29" s="2" t="s">
        <v>15</v>
      </c>
      <c r="Q29" s="25"/>
      <c r="R29" s="3"/>
      <c r="S29" s="98" t="s">
        <v>34</v>
      </c>
      <c r="T29" s="99"/>
      <c r="U29" s="99"/>
      <c r="V29" s="65">
        <v>4.5609999999999998E-2</v>
      </c>
      <c r="W29" s="8"/>
      <c r="X29" s="1"/>
    </row>
    <row r="30" spans="1:27" ht="16" thickBot="1" x14ac:dyDescent="0.4">
      <c r="A30" s="12">
        <v>44957</v>
      </c>
      <c r="B30" s="20">
        <v>26200</v>
      </c>
      <c r="C30" s="20">
        <v>47000</v>
      </c>
      <c r="D30" s="20">
        <v>32100</v>
      </c>
      <c r="E30" s="20">
        <v>42700</v>
      </c>
      <c r="F30" s="20">
        <v>64200</v>
      </c>
      <c r="G30" s="14">
        <f t="shared" si="2"/>
        <v>-5.0724637681159424E-2</v>
      </c>
      <c r="H30" s="14">
        <f t="shared" si="2"/>
        <v>-8.4388185654008518E-3</v>
      </c>
      <c r="I30" s="14">
        <f t="shared" si="2"/>
        <v>-2.1341463414634165E-2</v>
      </c>
      <c r="J30" s="14">
        <f t="shared" si="2"/>
        <v>-1.6129032258064502E-2</v>
      </c>
      <c r="K30" s="14">
        <f t="shared" si="2"/>
        <v>-4.8888888888888871E-2</v>
      </c>
      <c r="L30" s="1"/>
      <c r="M30" s="5"/>
      <c r="N30" s="6"/>
      <c r="O30" s="6"/>
      <c r="P30" s="9" t="s">
        <v>4</v>
      </c>
      <c r="Q30" s="27">
        <f>SUM(Q25:Q29)</f>
        <v>0</v>
      </c>
      <c r="R30" s="1"/>
      <c r="W30" s="1"/>
      <c r="X30" s="1"/>
    </row>
    <row r="31" spans="1:27" ht="16" thickBot="1" x14ac:dyDescent="0.4">
      <c r="A31" s="12">
        <v>44956</v>
      </c>
      <c r="B31" s="20">
        <v>27600</v>
      </c>
      <c r="C31" s="20">
        <v>47400</v>
      </c>
      <c r="D31" s="20">
        <v>32800</v>
      </c>
      <c r="E31" s="20">
        <v>43400</v>
      </c>
      <c r="F31" s="20">
        <v>67500</v>
      </c>
      <c r="G31" s="14">
        <f t="shared" si="2"/>
        <v>-7.194244604316502E-3</v>
      </c>
      <c r="H31" s="14">
        <f t="shared" si="2"/>
        <v>-1.2499999999999956E-2</v>
      </c>
      <c r="I31" s="14">
        <f t="shared" si="2"/>
        <v>0</v>
      </c>
      <c r="J31" s="14">
        <f t="shared" si="2"/>
        <v>-1.3636363636363669E-2</v>
      </c>
      <c r="K31" s="14">
        <f t="shared" si="2"/>
        <v>-1.8895348837209336E-2</v>
      </c>
      <c r="L31" s="1"/>
      <c r="M31" s="1"/>
      <c r="N31" s="1"/>
      <c r="O31" s="1"/>
      <c r="P31" s="1"/>
      <c r="Q31" s="1"/>
      <c r="R31" s="1"/>
      <c r="W31" s="1"/>
      <c r="X31" s="1"/>
    </row>
    <row r="32" spans="1:27" x14ac:dyDescent="0.35">
      <c r="A32" s="12">
        <v>44953</v>
      </c>
      <c r="B32" s="20">
        <v>27800</v>
      </c>
      <c r="C32" s="20">
        <v>48000</v>
      </c>
      <c r="D32" s="20">
        <v>32800</v>
      </c>
      <c r="E32" s="20">
        <v>44000</v>
      </c>
      <c r="F32" s="20">
        <v>68800</v>
      </c>
      <c r="G32" s="14">
        <f t="shared" si="2"/>
        <v>-1.4184397163120588E-2</v>
      </c>
      <c r="H32" s="14">
        <f t="shared" si="2"/>
        <v>0</v>
      </c>
      <c r="I32" s="14">
        <f t="shared" si="2"/>
        <v>-3.0395136778115228E-3</v>
      </c>
      <c r="J32" s="14">
        <f t="shared" si="2"/>
        <v>1.1494252873563315E-2</v>
      </c>
      <c r="K32" s="14">
        <f t="shared" si="2"/>
        <v>-2.5495750708215303E-2</v>
      </c>
      <c r="L32" s="1"/>
      <c r="M32" s="83" t="s">
        <v>29</v>
      </c>
      <c r="N32" s="84"/>
      <c r="O32" s="85"/>
      <c r="P32" s="1"/>
      <c r="Q32" s="1"/>
      <c r="R32" s="1"/>
      <c r="W32" s="1"/>
      <c r="X32" s="1"/>
      <c r="Y32" s="1"/>
      <c r="Z32" s="1"/>
      <c r="AA32" s="1"/>
    </row>
    <row r="33" spans="1:27" x14ac:dyDescent="0.35">
      <c r="A33" s="12">
        <v>44945</v>
      </c>
      <c r="B33" s="20">
        <v>28200</v>
      </c>
      <c r="C33" s="20">
        <v>48000</v>
      </c>
      <c r="D33" s="20">
        <v>32900</v>
      </c>
      <c r="E33" s="20">
        <v>43500</v>
      </c>
      <c r="F33" s="20">
        <v>70600</v>
      </c>
      <c r="G33" s="14">
        <f t="shared" si="2"/>
        <v>3.558718861210064E-3</v>
      </c>
      <c r="H33" s="14">
        <f t="shared" si="2"/>
        <v>1.0526315789473717E-2</v>
      </c>
      <c r="I33" s="14">
        <f t="shared" si="2"/>
        <v>6.1162079510703737E-3</v>
      </c>
      <c r="J33" s="14">
        <f t="shared" si="2"/>
        <v>1.6355140186915973E-2</v>
      </c>
      <c r="K33" s="14">
        <f t="shared" si="2"/>
        <v>2.3188405797101463E-2</v>
      </c>
      <c r="L33" s="1"/>
      <c r="M33" s="33" t="s">
        <v>30</v>
      </c>
      <c r="N33" s="15" t="s">
        <v>3</v>
      </c>
      <c r="O33" s="34" t="s">
        <v>32</v>
      </c>
      <c r="P33" s="1"/>
      <c r="Q33" s="1"/>
      <c r="R33" s="1"/>
      <c r="W33" s="1"/>
      <c r="X33" s="1"/>
      <c r="Y33" s="1"/>
      <c r="Z33" s="1"/>
      <c r="AA33" s="1"/>
    </row>
    <row r="34" spans="1:27" x14ac:dyDescent="0.35">
      <c r="A34" s="12">
        <v>44944</v>
      </c>
      <c r="B34" s="20">
        <v>28100</v>
      </c>
      <c r="C34" s="20">
        <v>47500</v>
      </c>
      <c r="D34" s="20">
        <v>32700</v>
      </c>
      <c r="E34" s="20">
        <v>42800</v>
      </c>
      <c r="F34" s="20">
        <v>69000</v>
      </c>
      <c r="G34" s="14">
        <f t="shared" si="2"/>
        <v>4.0740740740740744E-2</v>
      </c>
      <c r="H34" s="14">
        <f t="shared" si="2"/>
        <v>-3.1479538300105414E-3</v>
      </c>
      <c r="I34" s="14">
        <f t="shared" si="2"/>
        <v>-1.5060240963855387E-2</v>
      </c>
      <c r="J34" s="14">
        <f t="shared" si="2"/>
        <v>-1.1547344110854452E-2</v>
      </c>
      <c r="K34" s="14">
        <f t="shared" si="2"/>
        <v>-8.6206896551723755E-3</v>
      </c>
      <c r="L34" s="1"/>
      <c r="M34" s="3"/>
      <c r="N34" s="67">
        <f>V27</f>
        <v>0</v>
      </c>
      <c r="O34" s="66">
        <f>V26</f>
        <v>0</v>
      </c>
      <c r="P34" s="1"/>
      <c r="Q34" s="1"/>
      <c r="R34" s="1"/>
      <c r="W34" s="1"/>
      <c r="X34" s="1"/>
      <c r="Y34" s="1"/>
      <c r="Z34" s="1"/>
      <c r="AA34" s="1"/>
    </row>
    <row r="35" spans="1:27" x14ac:dyDescent="0.35">
      <c r="A35" s="12">
        <v>44943</v>
      </c>
      <c r="B35" s="20">
        <v>27000</v>
      </c>
      <c r="C35" s="20">
        <v>47650</v>
      </c>
      <c r="D35" s="20">
        <v>33200</v>
      </c>
      <c r="E35" s="20">
        <v>43300</v>
      </c>
      <c r="F35" s="20">
        <v>69600</v>
      </c>
      <c r="G35" s="14">
        <f t="shared" si="2"/>
        <v>-4.2553191489361653E-2</v>
      </c>
      <c r="H35" s="14">
        <f t="shared" si="2"/>
        <v>-9.3555093555093283E-3</v>
      </c>
      <c r="I35" s="14">
        <f t="shared" si="2"/>
        <v>-1.7751479289940808E-2</v>
      </c>
      <c r="J35" s="14">
        <f t="shared" si="2"/>
        <v>-1.4789533560864654E-2</v>
      </c>
      <c r="K35" s="14">
        <f t="shared" si="2"/>
        <v>-3.0640668523676862E-2</v>
      </c>
      <c r="L35" s="1"/>
      <c r="M35" s="10">
        <v>1</v>
      </c>
      <c r="N35" s="68"/>
      <c r="O35" s="4"/>
      <c r="P35" s="1"/>
      <c r="Q35" s="1"/>
      <c r="R35" s="1"/>
      <c r="W35" s="1"/>
      <c r="X35" s="1"/>
      <c r="Y35" s="1"/>
      <c r="Z35" s="1"/>
      <c r="AA35" s="1"/>
    </row>
    <row r="36" spans="1:27" x14ac:dyDescent="0.35">
      <c r="A36" s="12">
        <v>44942</v>
      </c>
      <c r="B36" s="20">
        <v>28200</v>
      </c>
      <c r="C36" s="20">
        <v>48100</v>
      </c>
      <c r="D36" s="20">
        <v>33800</v>
      </c>
      <c r="E36" s="20">
        <v>43950</v>
      </c>
      <c r="F36" s="20">
        <v>71800</v>
      </c>
      <c r="G36" s="14">
        <f t="shared" si="2"/>
        <v>0</v>
      </c>
      <c r="H36" s="14">
        <f t="shared" si="2"/>
        <v>8.3857442348007627E-3</v>
      </c>
      <c r="I36" s="14">
        <f t="shared" si="2"/>
        <v>1.501501501501501E-2</v>
      </c>
      <c r="J36" s="14">
        <f t="shared" si="2"/>
        <v>2.2805017103761926E-3</v>
      </c>
      <c r="K36" s="14">
        <f t="shared" si="2"/>
        <v>2.1337126600284417E-2</v>
      </c>
      <c r="L36" s="1"/>
      <c r="M36" s="10">
        <v>0.9</v>
      </c>
      <c r="N36" s="68"/>
      <c r="O36" s="4"/>
      <c r="P36" s="1"/>
      <c r="Q36" s="1"/>
      <c r="R36" s="1"/>
      <c r="W36" s="1"/>
      <c r="X36" s="1"/>
      <c r="Y36" s="1"/>
      <c r="Z36" s="1"/>
      <c r="AA36" s="1"/>
    </row>
    <row r="37" spans="1:27" x14ac:dyDescent="0.35">
      <c r="A37" s="12">
        <v>44939</v>
      </c>
      <c r="B37" s="20">
        <v>28200</v>
      </c>
      <c r="C37" s="20">
        <v>47700</v>
      </c>
      <c r="D37" s="20">
        <v>33300</v>
      </c>
      <c r="E37" s="20">
        <v>43850</v>
      </c>
      <c r="F37" s="20">
        <v>70300</v>
      </c>
      <c r="G37" s="14">
        <f t="shared" si="2"/>
        <v>-7.0422535211267512E-3</v>
      </c>
      <c r="H37" s="14">
        <f t="shared" si="2"/>
        <v>6.3291139240506666E-3</v>
      </c>
      <c r="I37" s="14">
        <f t="shared" si="2"/>
        <v>6.0422960725075026E-3</v>
      </c>
      <c r="J37" s="14">
        <f t="shared" si="2"/>
        <v>1.2702078521940052E-2</v>
      </c>
      <c r="K37" s="14">
        <f t="shared" si="2"/>
        <v>-9.8591549295774517E-3</v>
      </c>
      <c r="L37" s="1"/>
      <c r="M37" s="10">
        <v>0.8</v>
      </c>
      <c r="N37" s="68"/>
      <c r="O37" s="4"/>
      <c r="P37" s="1"/>
      <c r="Q37" s="1"/>
      <c r="R37" s="1"/>
      <c r="W37" s="1"/>
      <c r="X37" s="1"/>
      <c r="Y37" s="1"/>
      <c r="Z37" s="1"/>
      <c r="AA37" s="1"/>
    </row>
    <row r="38" spans="1:27" x14ac:dyDescent="0.35">
      <c r="A38" s="12">
        <v>44938</v>
      </c>
      <c r="B38" s="20">
        <v>28400</v>
      </c>
      <c r="C38" s="20">
        <v>47400</v>
      </c>
      <c r="D38" s="20">
        <v>33100</v>
      </c>
      <c r="E38" s="20">
        <v>43300</v>
      </c>
      <c r="F38" s="20">
        <v>71000</v>
      </c>
      <c r="G38" s="14">
        <f t="shared" si="2"/>
        <v>6.367041198501866E-2</v>
      </c>
      <c r="H38" s="14">
        <f t="shared" si="2"/>
        <v>5.3022269353129037E-3</v>
      </c>
      <c r="I38" s="14">
        <f t="shared" si="2"/>
        <v>1.2232415902140747E-2</v>
      </c>
      <c r="J38" s="14">
        <f t="shared" si="2"/>
        <v>-2.2573363431151239E-2</v>
      </c>
      <c r="K38" s="14">
        <f t="shared" si="2"/>
        <v>2.1582733812949728E-2</v>
      </c>
      <c r="L38" s="1"/>
      <c r="M38" s="10">
        <v>0.7</v>
      </c>
      <c r="N38" s="68"/>
      <c r="O38" s="4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5">
      <c r="A39" s="12">
        <v>44937</v>
      </c>
      <c r="B39" s="20">
        <v>26700</v>
      </c>
      <c r="C39" s="20">
        <v>47150</v>
      </c>
      <c r="D39" s="20">
        <v>32700</v>
      </c>
      <c r="E39" s="20">
        <v>44300</v>
      </c>
      <c r="F39" s="20">
        <v>69500</v>
      </c>
      <c r="G39" s="14">
        <f t="shared" si="2"/>
        <v>-7.4349442379182396E-3</v>
      </c>
      <c r="H39" s="14">
        <f t="shared" si="2"/>
        <v>5.3304904051172386E-3</v>
      </c>
      <c r="I39" s="14">
        <f t="shared" si="2"/>
        <v>-2.6785714285714302E-2</v>
      </c>
      <c r="J39" s="14">
        <f t="shared" si="2"/>
        <v>-1.5555555555555545E-2</v>
      </c>
      <c r="K39" s="14">
        <f t="shared" si="2"/>
        <v>6.9230769230769207E-2</v>
      </c>
      <c r="L39" s="1"/>
      <c r="M39" s="10">
        <v>0.6</v>
      </c>
      <c r="N39" s="68"/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5">
      <c r="A40" s="12">
        <v>44936</v>
      </c>
      <c r="B40" s="20">
        <v>26900</v>
      </c>
      <c r="C40" s="20">
        <v>46900</v>
      </c>
      <c r="D40" s="20">
        <v>33600</v>
      </c>
      <c r="E40" s="20">
        <v>45000</v>
      </c>
      <c r="F40" s="20">
        <v>65000</v>
      </c>
      <c r="G40" s="14">
        <f t="shared" si="2"/>
        <v>5.4901960784313752E-2</v>
      </c>
      <c r="H40" s="14">
        <f t="shared" si="2"/>
        <v>2.1367521367521292E-3</v>
      </c>
      <c r="I40" s="14">
        <f t="shared" si="2"/>
        <v>-1.7543859649122862E-2</v>
      </c>
      <c r="J40" s="14">
        <f t="shared" si="2"/>
        <v>-1.098901098901095E-2</v>
      </c>
      <c r="K40" s="14">
        <f t="shared" si="2"/>
        <v>-3.0674846625766694E-3</v>
      </c>
      <c r="L40" s="1"/>
      <c r="M40" s="10">
        <v>0.5</v>
      </c>
      <c r="N40" s="68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5">
      <c r="A41" s="12">
        <v>44935</v>
      </c>
      <c r="B41" s="20">
        <v>25500</v>
      </c>
      <c r="C41" s="20">
        <v>46800</v>
      </c>
      <c r="D41" s="20">
        <v>34200</v>
      </c>
      <c r="E41" s="20">
        <v>45500</v>
      </c>
      <c r="F41" s="20">
        <v>65200</v>
      </c>
      <c r="G41" s="14">
        <f t="shared" si="2"/>
        <v>-1.9230769230769273E-2</v>
      </c>
      <c r="H41" s="14">
        <f t="shared" si="2"/>
        <v>4.0000000000000036E-2</v>
      </c>
      <c r="I41" s="14">
        <f t="shared" si="2"/>
        <v>-1.1560693641618491E-2</v>
      </c>
      <c r="J41" s="14">
        <f t="shared" si="2"/>
        <v>-1.3015184381778733E-2</v>
      </c>
      <c r="K41" s="14">
        <f t="shared" si="2"/>
        <v>3.0769230769229772E-3</v>
      </c>
      <c r="L41" s="1"/>
      <c r="M41" s="10">
        <v>0.4</v>
      </c>
      <c r="N41" s="68"/>
      <c r="O41" s="4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5">
      <c r="A42" s="12">
        <v>44932</v>
      </c>
      <c r="B42" s="20">
        <v>26000</v>
      </c>
      <c r="C42" s="20">
        <v>45000</v>
      </c>
      <c r="D42" s="20">
        <v>34600</v>
      </c>
      <c r="E42" s="20">
        <v>46100</v>
      </c>
      <c r="F42" s="20">
        <v>65000</v>
      </c>
      <c r="G42" s="14">
        <f t="shared" si="2"/>
        <v>3.1746031746031855E-2</v>
      </c>
      <c r="H42" s="14">
        <f t="shared" si="2"/>
        <v>1.1235955056179803E-2</v>
      </c>
      <c r="I42" s="14">
        <f t="shared" si="2"/>
        <v>1.4662756598240456E-2</v>
      </c>
      <c r="J42" s="14">
        <f t="shared" si="2"/>
        <v>1.2074643249176731E-2</v>
      </c>
      <c r="K42" s="14">
        <f t="shared" si="2"/>
        <v>2.0408163265306145E-2</v>
      </c>
      <c r="L42" s="1"/>
      <c r="M42" s="10">
        <v>0.3</v>
      </c>
      <c r="N42" s="68"/>
      <c r="O42" s="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5">
      <c r="A43" s="12">
        <v>44931</v>
      </c>
      <c r="B43" s="20">
        <v>25200</v>
      </c>
      <c r="C43" s="20">
        <v>44500</v>
      </c>
      <c r="D43" s="20">
        <v>34100</v>
      </c>
      <c r="E43" s="20">
        <v>45550</v>
      </c>
      <c r="F43" s="20">
        <v>63700</v>
      </c>
      <c r="G43" s="14">
        <f t="shared" si="2"/>
        <v>-1.5625E-2</v>
      </c>
      <c r="H43" s="14">
        <f t="shared" si="2"/>
        <v>0</v>
      </c>
      <c r="I43" s="14">
        <f t="shared" si="2"/>
        <v>-3.125E-2</v>
      </c>
      <c r="J43" s="14">
        <f t="shared" si="2"/>
        <v>-2.8784648187633266E-2</v>
      </c>
      <c r="K43" s="14">
        <f t="shared" si="2"/>
        <v>4.7318611987381409E-3</v>
      </c>
      <c r="L43" s="1"/>
      <c r="M43" s="10">
        <v>0.2</v>
      </c>
      <c r="N43" s="68"/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5">
      <c r="A44" s="12">
        <v>44930</v>
      </c>
      <c r="B44" s="20">
        <v>25600</v>
      </c>
      <c r="C44" s="20">
        <v>44500</v>
      </c>
      <c r="D44" s="20">
        <v>35200</v>
      </c>
      <c r="E44" s="20">
        <v>46900</v>
      </c>
      <c r="F44" s="20">
        <v>63400</v>
      </c>
      <c r="G44" s="14">
        <f t="shared" si="2"/>
        <v>-3.7593984962406068E-2</v>
      </c>
      <c r="H44" s="14">
        <f t="shared" si="2"/>
        <v>-1.8743109151047377E-2</v>
      </c>
      <c r="I44" s="14">
        <f t="shared" si="2"/>
        <v>0</v>
      </c>
      <c r="J44" s="14">
        <f t="shared" si="2"/>
        <v>-2.1276595744680327E-3</v>
      </c>
      <c r="K44" s="14">
        <f t="shared" si="2"/>
        <v>-3.793626707132014E-2</v>
      </c>
      <c r="L44" s="1"/>
      <c r="M44" s="10">
        <v>0.1</v>
      </c>
      <c r="N44" s="68"/>
      <c r="O44" s="4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5">
      <c r="A45" s="12">
        <v>44929</v>
      </c>
      <c r="B45" s="20">
        <v>26600</v>
      </c>
      <c r="C45" s="20">
        <v>45350</v>
      </c>
      <c r="D45" s="20">
        <v>35200</v>
      </c>
      <c r="E45" s="20">
        <v>47000</v>
      </c>
      <c r="F45" s="20">
        <v>65900</v>
      </c>
      <c r="G45" s="14">
        <f t="shared" si="2"/>
        <v>1.9157088122605304E-2</v>
      </c>
      <c r="H45" s="14">
        <f t="shared" si="2"/>
        <v>-1.413043478260867E-2</v>
      </c>
      <c r="I45" s="14">
        <f t="shared" si="2"/>
        <v>2.9239766081871288E-2</v>
      </c>
      <c r="J45" s="14">
        <f t="shared" si="2"/>
        <v>-1.6736401673640211E-2</v>
      </c>
      <c r="K45" s="14">
        <f t="shared" si="2"/>
        <v>-6.0331825037707176E-3</v>
      </c>
      <c r="L45" s="1"/>
      <c r="M45" s="10">
        <v>0</v>
      </c>
      <c r="N45" s="68"/>
      <c r="O45" s="4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5">
      <c r="A46" s="12">
        <v>44925</v>
      </c>
      <c r="B46" s="20">
        <v>26100</v>
      </c>
      <c r="C46" s="20">
        <v>46000</v>
      </c>
      <c r="D46" s="20">
        <v>34200</v>
      </c>
      <c r="E46" s="20">
        <v>47800</v>
      </c>
      <c r="F46" s="20">
        <v>66300</v>
      </c>
      <c r="G46" s="14">
        <f t="shared" si="2"/>
        <v>7.7220077220077066E-3</v>
      </c>
      <c r="H46" s="14">
        <f t="shared" si="2"/>
        <v>1.098901098901095E-2</v>
      </c>
      <c r="I46" s="14">
        <f t="shared" si="2"/>
        <v>1.7857142857142794E-2</v>
      </c>
      <c r="J46" s="14">
        <f t="shared" si="2"/>
        <v>-4.1666666666666519E-3</v>
      </c>
      <c r="K46" s="14">
        <f t="shared" si="2"/>
        <v>2.6315789473684292E-2</v>
      </c>
      <c r="L46" s="1"/>
      <c r="M46" s="10">
        <v>-0.1</v>
      </c>
      <c r="N46" s="68"/>
      <c r="O46" s="4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5">
      <c r="A47" s="12">
        <v>44924</v>
      </c>
      <c r="B47" s="20">
        <v>25900</v>
      </c>
      <c r="C47" s="20">
        <v>45500</v>
      </c>
      <c r="D47" s="20">
        <v>33600</v>
      </c>
      <c r="E47" s="20">
        <v>48000</v>
      </c>
      <c r="F47" s="20">
        <v>64600</v>
      </c>
      <c r="G47" s="14">
        <f t="shared" si="2"/>
        <v>2.7777777777777679E-2</v>
      </c>
      <c r="H47" s="14">
        <f t="shared" si="2"/>
        <v>-2.1929824561403022E-3</v>
      </c>
      <c r="I47" s="14">
        <f t="shared" si="2"/>
        <v>-2.3255813953488413E-2</v>
      </c>
      <c r="J47" s="14">
        <f t="shared" si="2"/>
        <v>1.9108280254777066E-2</v>
      </c>
      <c r="K47" s="14">
        <f t="shared" si="2"/>
        <v>6.230529595015577E-3</v>
      </c>
      <c r="L47" s="1"/>
      <c r="M47" s="10">
        <v>-0.2</v>
      </c>
      <c r="N47" s="68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5">
      <c r="A48" s="12">
        <v>44923</v>
      </c>
      <c r="B48" s="20">
        <v>25200</v>
      </c>
      <c r="C48" s="20">
        <v>45600</v>
      </c>
      <c r="D48" s="20">
        <v>34400</v>
      </c>
      <c r="E48" s="20">
        <v>47100</v>
      </c>
      <c r="F48" s="20">
        <v>64200</v>
      </c>
      <c r="G48" s="14">
        <f t="shared" si="2"/>
        <v>2.0242914979757165E-2</v>
      </c>
      <c r="H48" s="14">
        <f t="shared" si="2"/>
        <v>6.9167643610785534E-2</v>
      </c>
      <c r="I48" s="14">
        <f t="shared" si="2"/>
        <v>2.9940119760478945E-2</v>
      </c>
      <c r="J48" s="14">
        <f t="shared" si="2"/>
        <v>2.1276595744681437E-3</v>
      </c>
      <c r="K48" s="14">
        <f t="shared" si="2"/>
        <v>7.0000000000000062E-2</v>
      </c>
      <c r="L48" s="1"/>
      <c r="M48" s="10">
        <v>-0.3</v>
      </c>
      <c r="N48" s="68"/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5">
      <c r="A49" s="12">
        <v>44922</v>
      </c>
      <c r="B49" s="20">
        <v>24700</v>
      </c>
      <c r="C49" s="20">
        <v>42650</v>
      </c>
      <c r="D49" s="20">
        <v>33400</v>
      </c>
      <c r="E49" s="20">
        <v>47000</v>
      </c>
      <c r="F49" s="20">
        <v>60000</v>
      </c>
      <c r="G49" s="14">
        <f t="shared" si="2"/>
        <v>2.0661157024793431E-2</v>
      </c>
      <c r="H49" s="14">
        <f t="shared" si="2"/>
        <v>1.9115890083632125E-2</v>
      </c>
      <c r="I49" s="14">
        <f t="shared" si="2"/>
        <v>2.7692307692307683E-2</v>
      </c>
      <c r="J49" s="14">
        <f t="shared" si="2"/>
        <v>0</v>
      </c>
      <c r="K49" s="14">
        <f t="shared" si="2"/>
        <v>2.7397260273972712E-2</v>
      </c>
      <c r="L49" s="1"/>
      <c r="M49" s="10">
        <v>-0.4</v>
      </c>
      <c r="N49" s="68"/>
      <c r="O49" s="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5">
      <c r="A50" s="12">
        <v>44921</v>
      </c>
      <c r="B50" s="20">
        <v>24200</v>
      </c>
      <c r="C50" s="20">
        <v>41850</v>
      </c>
      <c r="D50" s="20">
        <v>32500</v>
      </c>
      <c r="E50" s="20">
        <v>47000</v>
      </c>
      <c r="F50" s="20">
        <v>58400</v>
      </c>
      <c r="G50" s="14">
        <f t="shared" si="2"/>
        <v>-2.4193548387096753E-2</v>
      </c>
      <c r="H50" s="14">
        <f t="shared" si="2"/>
        <v>1.1961722488038617E-3</v>
      </c>
      <c r="I50" s="14">
        <f t="shared" si="2"/>
        <v>-2.9850746268656692E-2</v>
      </c>
      <c r="J50" s="14">
        <f t="shared" si="2"/>
        <v>-1.1566771819137789E-2</v>
      </c>
      <c r="K50" s="14">
        <f t="shared" si="2"/>
        <v>3.3628318584070893E-2</v>
      </c>
      <c r="L50" s="1"/>
      <c r="M50" s="10">
        <v>-0.5</v>
      </c>
      <c r="N50" s="68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5">
      <c r="A51" s="12">
        <v>44918</v>
      </c>
      <c r="B51" s="20">
        <v>24800</v>
      </c>
      <c r="C51" s="20">
        <v>41800</v>
      </c>
      <c r="D51" s="20">
        <v>33500</v>
      </c>
      <c r="E51" s="20">
        <v>47550</v>
      </c>
      <c r="F51" s="20">
        <v>56500</v>
      </c>
      <c r="G51" s="14">
        <f t="shared" si="2"/>
        <v>2.9045643153526868E-2</v>
      </c>
      <c r="H51" s="14">
        <f t="shared" si="2"/>
        <v>1.4563106796116498E-2</v>
      </c>
      <c r="I51" s="14">
        <f t="shared" si="2"/>
        <v>1.2084592145015005E-2</v>
      </c>
      <c r="J51" s="14">
        <f t="shared" si="2"/>
        <v>2.1074815595363283E-3</v>
      </c>
      <c r="K51" s="14">
        <f t="shared" si="2"/>
        <v>8.9285714285713969E-3</v>
      </c>
      <c r="L51" s="1"/>
      <c r="M51" s="10">
        <v>-0.6</v>
      </c>
      <c r="N51" s="68"/>
      <c r="O51" s="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5">
      <c r="A52" s="12">
        <v>44917</v>
      </c>
      <c r="B52" s="20">
        <v>24100</v>
      </c>
      <c r="C52" s="20">
        <v>41200</v>
      </c>
      <c r="D52" s="20">
        <v>33100</v>
      </c>
      <c r="E52" s="20">
        <v>47450</v>
      </c>
      <c r="F52" s="20">
        <v>56000</v>
      </c>
      <c r="G52" s="14">
        <f t="shared" si="2"/>
        <v>2.5531914893617058E-2</v>
      </c>
      <c r="H52" s="14">
        <f t="shared" si="2"/>
        <v>3.0000000000000027E-2</v>
      </c>
      <c r="I52" s="14">
        <f t="shared" si="2"/>
        <v>-8.8154269972451793E-2</v>
      </c>
      <c r="J52" s="14">
        <f t="shared" si="2"/>
        <v>-1.0526315789474161E-3</v>
      </c>
      <c r="K52" s="14">
        <f t="shared" si="2"/>
        <v>-2.6086956521739091E-2</v>
      </c>
      <c r="L52" s="1"/>
      <c r="M52" s="10">
        <v>-0.7</v>
      </c>
      <c r="N52" s="68"/>
      <c r="O52" s="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5">
      <c r="A53" s="12">
        <v>44916</v>
      </c>
      <c r="B53" s="20">
        <v>23500</v>
      </c>
      <c r="C53" s="20">
        <v>40000</v>
      </c>
      <c r="D53" s="20">
        <v>36300</v>
      </c>
      <c r="E53" s="20">
        <v>47500</v>
      </c>
      <c r="F53" s="20">
        <v>57500</v>
      </c>
      <c r="G53" s="14">
        <f t="shared" si="2"/>
        <v>-6.0000000000000053E-2</v>
      </c>
      <c r="H53" s="14">
        <f t="shared" si="2"/>
        <v>-3.3816425120772986E-2</v>
      </c>
      <c r="I53" s="14">
        <f t="shared" si="2"/>
        <v>9.0090090090090058E-2</v>
      </c>
      <c r="J53" s="14">
        <f t="shared" si="2"/>
        <v>-3.6511156186612603E-2</v>
      </c>
      <c r="K53" s="14">
        <f t="shared" si="2"/>
        <v>-6.6558441558441594E-2</v>
      </c>
      <c r="L53" s="1"/>
      <c r="M53" s="10">
        <v>-0.8</v>
      </c>
      <c r="N53" s="68"/>
      <c r="O53" s="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5">
      <c r="A54" s="12">
        <v>44915</v>
      </c>
      <c r="B54" s="20">
        <v>25000</v>
      </c>
      <c r="C54" s="20">
        <v>41400</v>
      </c>
      <c r="D54" s="20">
        <v>33300</v>
      </c>
      <c r="E54" s="20">
        <v>49300</v>
      </c>
      <c r="F54" s="20">
        <v>61600</v>
      </c>
      <c r="G54" s="14">
        <f t="shared" si="2"/>
        <v>-6.7164179104477584E-2</v>
      </c>
      <c r="H54" s="14">
        <f t="shared" si="2"/>
        <v>-5.4794520547945202E-2</v>
      </c>
      <c r="I54" s="14">
        <f t="shared" si="2"/>
        <v>9.0909090909090384E-3</v>
      </c>
      <c r="J54" s="14">
        <f t="shared" si="2"/>
        <v>-3.3333333333333326E-2</v>
      </c>
      <c r="K54" s="14">
        <f t="shared" si="2"/>
        <v>-1.1235955056179803E-2</v>
      </c>
      <c r="L54" s="1"/>
      <c r="M54" s="10">
        <v>-0.9</v>
      </c>
      <c r="N54" s="68"/>
      <c r="O54" s="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thickBot="1" x14ac:dyDescent="0.4">
      <c r="A55" s="12">
        <v>44914</v>
      </c>
      <c r="B55" s="20">
        <v>26800</v>
      </c>
      <c r="C55" s="20">
        <v>43800</v>
      </c>
      <c r="D55" s="20">
        <v>33000</v>
      </c>
      <c r="E55" s="20">
        <v>51000</v>
      </c>
      <c r="F55" s="20">
        <v>62300</v>
      </c>
      <c r="G55" s="14">
        <f t="shared" si="2"/>
        <v>-1.8315018315018361E-2</v>
      </c>
      <c r="H55" s="14">
        <f t="shared" si="2"/>
        <v>1.1428571428571122E-3</v>
      </c>
      <c r="I55" s="14">
        <f t="shared" si="2"/>
        <v>1.8518518518518601E-2</v>
      </c>
      <c r="J55" s="14">
        <f t="shared" si="2"/>
        <v>-3.90625E-3</v>
      </c>
      <c r="K55" s="14">
        <f t="shared" si="2"/>
        <v>3.3167495854063089E-2</v>
      </c>
      <c r="L55" s="1"/>
      <c r="M55" s="69">
        <v>-1</v>
      </c>
      <c r="N55" s="70"/>
      <c r="O55" s="7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5">
      <c r="A56" s="12">
        <v>44911</v>
      </c>
      <c r="B56" s="20">
        <v>27300</v>
      </c>
      <c r="C56" s="20">
        <v>43750</v>
      </c>
      <c r="D56" s="20">
        <v>32400</v>
      </c>
      <c r="E56" s="20">
        <v>51200</v>
      </c>
      <c r="F56" s="20">
        <v>60300</v>
      </c>
      <c r="G56" s="14">
        <f t="shared" si="2"/>
        <v>1.8656716417910557E-2</v>
      </c>
      <c r="H56" s="14">
        <f t="shared" si="2"/>
        <v>1.9813519813519864E-2</v>
      </c>
      <c r="I56" s="14">
        <f t="shared" si="2"/>
        <v>1.2499999999999956E-2</v>
      </c>
      <c r="J56" s="14">
        <f t="shared" si="2"/>
        <v>-2.4761904761904763E-2</v>
      </c>
      <c r="K56" s="14">
        <f t="shared" si="2"/>
        <v>-0.1507042253521127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5">
      <c r="A57" s="12">
        <v>44910</v>
      </c>
      <c r="B57" s="20">
        <v>26800</v>
      </c>
      <c r="C57" s="20">
        <v>42900</v>
      </c>
      <c r="D57" s="20">
        <v>32000</v>
      </c>
      <c r="E57" s="20">
        <v>52500</v>
      </c>
      <c r="F57" s="20">
        <v>71000</v>
      </c>
      <c r="G57" s="14">
        <f t="shared" si="2"/>
        <v>2.6819923371647514E-2</v>
      </c>
      <c r="H57" s="14">
        <f t="shared" si="2"/>
        <v>-9.2378752886835835E-3</v>
      </c>
      <c r="I57" s="14">
        <f t="shared" si="2"/>
        <v>-1.538461538461533E-2</v>
      </c>
      <c r="J57" s="14">
        <f t="shared" si="2"/>
        <v>0</v>
      </c>
      <c r="K57" s="14">
        <f t="shared" si="2"/>
        <v>-2.0689655172413834E-2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5">
      <c r="A58" s="12">
        <v>44909</v>
      </c>
      <c r="B58" s="20">
        <v>26100</v>
      </c>
      <c r="C58" s="20">
        <v>43300</v>
      </c>
      <c r="D58" s="20">
        <v>32500</v>
      </c>
      <c r="E58" s="20">
        <v>52500</v>
      </c>
      <c r="F58" s="20">
        <v>72500</v>
      </c>
      <c r="G58" s="14">
        <f t="shared" si="2"/>
        <v>-3.8167938931297218E-3</v>
      </c>
      <c r="H58" s="14">
        <f t="shared" si="2"/>
        <v>4.3373493975903621E-2</v>
      </c>
      <c r="I58" s="14">
        <f t="shared" si="2"/>
        <v>7.2607260726072598E-2</v>
      </c>
      <c r="J58" s="14">
        <f t="shared" si="2"/>
        <v>5.2104208416833719E-2</v>
      </c>
      <c r="K58" s="14">
        <f t="shared" si="2"/>
        <v>3.5714285714285809E-2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5">
      <c r="A59" s="12">
        <v>44908</v>
      </c>
      <c r="B59" s="20">
        <v>26200</v>
      </c>
      <c r="C59" s="20">
        <v>41500</v>
      </c>
      <c r="D59" s="20">
        <v>30300</v>
      </c>
      <c r="E59" s="20">
        <v>49900</v>
      </c>
      <c r="F59" s="20">
        <v>70000</v>
      </c>
      <c r="G59" s="14">
        <f t="shared" si="2"/>
        <v>-1.132075471698113E-2</v>
      </c>
      <c r="H59" s="14">
        <f t="shared" si="2"/>
        <v>6.9587628865979356E-2</v>
      </c>
      <c r="I59" s="14">
        <f t="shared" si="2"/>
        <v>2.3648648648648685E-2</v>
      </c>
      <c r="J59" s="14">
        <f t="shared" si="2"/>
        <v>-1.3833992094861691E-2</v>
      </c>
      <c r="K59" s="14">
        <f t="shared" si="2"/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5">
      <c r="A60" s="12">
        <v>44907</v>
      </c>
      <c r="B60" s="20">
        <v>26500</v>
      </c>
      <c r="C60" s="20">
        <v>38800</v>
      </c>
      <c r="D60" s="20">
        <v>29600</v>
      </c>
      <c r="E60" s="20">
        <v>50600</v>
      </c>
      <c r="F60" s="20">
        <v>70000</v>
      </c>
      <c r="G60" s="14">
        <f t="shared" si="2"/>
        <v>-7.4906367041198685E-3</v>
      </c>
      <c r="H60" s="14">
        <f t="shared" si="2"/>
        <v>5.1813471502590858E-3</v>
      </c>
      <c r="I60" s="14">
        <f t="shared" si="2"/>
        <v>-3.3670033670033517E-3</v>
      </c>
      <c r="J60" s="14">
        <f t="shared" si="2"/>
        <v>1.2000000000000011E-2</v>
      </c>
      <c r="K60" s="14">
        <f t="shared" si="2"/>
        <v>1.1560693641618602E-2</v>
      </c>
      <c r="L60" s="1"/>
      <c r="M60" s="1"/>
      <c r="N60" s="1"/>
      <c r="O60" s="1"/>
      <c r="P60" s="1"/>
    </row>
    <row r="61" spans="1:27" x14ac:dyDescent="0.35">
      <c r="A61" s="12">
        <v>44904</v>
      </c>
      <c r="B61" s="20">
        <v>26700</v>
      </c>
      <c r="C61" s="20">
        <v>38600</v>
      </c>
      <c r="D61" s="20">
        <v>29700</v>
      </c>
      <c r="E61" s="20">
        <v>50000</v>
      </c>
      <c r="F61" s="20">
        <v>69200</v>
      </c>
      <c r="G61" s="14">
        <f t="shared" si="2"/>
        <v>-1.8382352941176516E-2</v>
      </c>
      <c r="H61" s="14">
        <f t="shared" si="2"/>
        <v>-1.7811704834605591E-2</v>
      </c>
      <c r="I61" s="14">
        <f t="shared" si="2"/>
        <v>-6.6889632107023367E-3</v>
      </c>
      <c r="J61" s="14">
        <f t="shared" si="2"/>
        <v>-2.7237354085603127E-2</v>
      </c>
      <c r="K61" s="14">
        <f t="shared" si="2"/>
        <v>-1.1428571428571455E-2</v>
      </c>
      <c r="L61" s="1"/>
      <c r="M61" s="1"/>
      <c r="N61" s="1"/>
      <c r="O61" s="1"/>
      <c r="P61" s="1"/>
    </row>
    <row r="62" spans="1:27" x14ac:dyDescent="0.35">
      <c r="A62" s="12">
        <v>44903</v>
      </c>
      <c r="B62" s="20">
        <v>27200</v>
      </c>
      <c r="C62" s="20">
        <v>39300</v>
      </c>
      <c r="D62" s="20">
        <v>29900</v>
      </c>
      <c r="E62" s="20">
        <v>51400</v>
      </c>
      <c r="F62" s="20">
        <v>70000</v>
      </c>
      <c r="G62" s="14">
        <f t="shared" si="2"/>
        <v>7.5098814229249022E-2</v>
      </c>
      <c r="H62" s="14">
        <f t="shared" si="2"/>
        <v>-2.5380710659897998E-3</v>
      </c>
      <c r="I62" s="14">
        <f t="shared" si="2"/>
        <v>-3.3333333333332993E-3</v>
      </c>
      <c r="J62" s="14">
        <f t="shared" si="2"/>
        <v>-1.1538461538461497E-2</v>
      </c>
      <c r="K62" s="14">
        <f t="shared" si="2"/>
        <v>0</v>
      </c>
      <c r="L62" s="1"/>
      <c r="M62" s="1"/>
      <c r="N62" s="1"/>
      <c r="O62" s="1"/>
      <c r="P62" s="1"/>
    </row>
    <row r="63" spans="1:27" x14ac:dyDescent="0.35">
      <c r="A63" s="12">
        <v>44902</v>
      </c>
      <c r="B63" s="20">
        <v>25300</v>
      </c>
      <c r="C63" s="20">
        <v>39400</v>
      </c>
      <c r="D63" s="20">
        <v>30000</v>
      </c>
      <c r="E63" s="20">
        <v>52000</v>
      </c>
      <c r="F63" s="20">
        <v>70000</v>
      </c>
      <c r="G63" s="14">
        <f t="shared" si="2"/>
        <v>0</v>
      </c>
      <c r="H63" s="14">
        <f t="shared" si="2"/>
        <v>5.1020408163264808E-3</v>
      </c>
      <c r="I63" s="14">
        <f t="shared" si="2"/>
        <v>3.8062283737024138E-2</v>
      </c>
      <c r="J63" s="14">
        <f t="shared" si="2"/>
        <v>-1.9193857965451588E-3</v>
      </c>
      <c r="K63" s="14">
        <f t="shared" si="2"/>
        <v>2.9411764705882248E-2</v>
      </c>
      <c r="L63" s="1"/>
      <c r="M63" s="1"/>
      <c r="N63" s="1"/>
      <c r="O63" s="1"/>
      <c r="P63" s="1"/>
    </row>
    <row r="64" spans="1:27" x14ac:dyDescent="0.35">
      <c r="A64" s="12">
        <v>44901</v>
      </c>
      <c r="B64" s="20">
        <v>25300</v>
      </c>
      <c r="C64" s="20">
        <v>39200</v>
      </c>
      <c r="D64" s="20">
        <v>28900</v>
      </c>
      <c r="E64" s="20">
        <v>52100</v>
      </c>
      <c r="F64" s="20">
        <v>68000</v>
      </c>
      <c r="G64" s="14">
        <f t="shared" si="2"/>
        <v>-3.937007874015741E-3</v>
      </c>
      <c r="H64" s="14">
        <f t="shared" si="2"/>
        <v>7.7120822622107621E-3</v>
      </c>
      <c r="I64" s="14">
        <f t="shared" si="2"/>
        <v>-2.3648648648648685E-2</v>
      </c>
      <c r="J64" s="14">
        <f t="shared" si="2"/>
        <v>-1.1385199240986688E-2</v>
      </c>
      <c r="K64" s="14">
        <f t="shared" si="2"/>
        <v>-8.7463556851311575E-3</v>
      </c>
      <c r="L64" s="1"/>
      <c r="M64" s="1"/>
      <c r="N64" s="1"/>
      <c r="O64" s="1"/>
      <c r="P64" s="1"/>
    </row>
    <row r="65" spans="1:27" x14ac:dyDescent="0.35">
      <c r="A65" s="12">
        <v>44900</v>
      </c>
      <c r="B65" s="20">
        <v>25400</v>
      </c>
      <c r="C65" s="20">
        <v>38900</v>
      </c>
      <c r="D65" s="20">
        <v>29600</v>
      </c>
      <c r="E65" s="20">
        <v>52700</v>
      </c>
      <c r="F65" s="20">
        <v>68600</v>
      </c>
      <c r="G65" s="14">
        <f t="shared" si="2"/>
        <v>0</v>
      </c>
      <c r="H65" s="14">
        <f t="shared" si="2"/>
        <v>2.5773195876288568E-3</v>
      </c>
      <c r="I65" s="14">
        <f t="shared" si="2"/>
        <v>2.7777777777777679E-2</v>
      </c>
      <c r="J65" s="14">
        <f t="shared" si="2"/>
        <v>-2.0446096654275103E-2</v>
      </c>
      <c r="K65" s="14">
        <f t="shared" si="2"/>
        <v>8.8235294117646745E-3</v>
      </c>
      <c r="L65" s="1"/>
      <c r="M65" s="1"/>
      <c r="N65" s="1"/>
      <c r="O65" s="1"/>
      <c r="P65" s="1"/>
    </row>
    <row r="66" spans="1:27" x14ac:dyDescent="0.35">
      <c r="A66" s="12">
        <v>44897</v>
      </c>
      <c r="B66" s="20">
        <v>25400</v>
      </c>
      <c r="C66" s="20">
        <v>38800</v>
      </c>
      <c r="D66" s="20">
        <v>28800</v>
      </c>
      <c r="E66" s="20">
        <v>53800</v>
      </c>
      <c r="F66" s="20">
        <v>68000</v>
      </c>
      <c r="G66" s="14">
        <f t="shared" si="2"/>
        <v>2.008032128514059E-2</v>
      </c>
      <c r="H66" s="14">
        <f t="shared" si="2"/>
        <v>4.8648648648648596E-2</v>
      </c>
      <c r="I66" s="14">
        <f t="shared" si="2"/>
        <v>6.9930069930070893E-3</v>
      </c>
      <c r="J66" s="14">
        <f t="shared" si="2"/>
        <v>-5.5452865064694601E-3</v>
      </c>
      <c r="K66" s="14">
        <f t="shared" si="2"/>
        <v>2.9498525073745618E-3</v>
      </c>
      <c r="L66" s="1"/>
      <c r="M66" s="1"/>
      <c r="N66" s="1"/>
      <c r="O66" s="1"/>
      <c r="P66" s="1"/>
    </row>
    <row r="67" spans="1:27" x14ac:dyDescent="0.35">
      <c r="A67" s="12">
        <v>44896</v>
      </c>
      <c r="B67" s="20">
        <v>24900</v>
      </c>
      <c r="C67" s="20">
        <v>37000</v>
      </c>
      <c r="D67" s="20">
        <v>28600</v>
      </c>
      <c r="E67" s="20">
        <v>54100</v>
      </c>
      <c r="F67" s="20">
        <v>67800</v>
      </c>
      <c r="G67" s="14">
        <f t="shared" si="2"/>
        <v>0</v>
      </c>
      <c r="H67" s="14">
        <f t="shared" si="2"/>
        <v>5.4347826086955653E-3</v>
      </c>
      <c r="I67" s="14">
        <f t="shared" si="2"/>
        <v>1.7793594306049876E-2</v>
      </c>
      <c r="J67" s="14">
        <f t="shared" si="2"/>
        <v>-1.0968921389396757E-2</v>
      </c>
      <c r="K67" s="14">
        <f t="shared" si="2"/>
        <v>1.0432190760059523E-2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5">
      <c r="A68" s="12">
        <v>44895</v>
      </c>
      <c r="B68" s="20">
        <v>24900</v>
      </c>
      <c r="C68" s="20">
        <v>36800</v>
      </c>
      <c r="D68" s="20">
        <v>28100</v>
      </c>
      <c r="E68" s="20">
        <v>54700</v>
      </c>
      <c r="F68" s="20">
        <v>67100</v>
      </c>
      <c r="G68" s="14">
        <f t="shared" ref="G68:K118" si="8">B68/B69-1</f>
        <v>4.0322580645162365E-3</v>
      </c>
      <c r="H68" s="14">
        <f t="shared" si="8"/>
        <v>1.377410468319562E-2</v>
      </c>
      <c r="I68" s="14">
        <f t="shared" si="8"/>
        <v>-1.0563380281690127E-2</v>
      </c>
      <c r="J68" s="14">
        <f t="shared" si="8"/>
        <v>2.2429906542056122E-2</v>
      </c>
      <c r="K68" s="14">
        <f t="shared" si="8"/>
        <v>3.2307692307692371E-2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5">
      <c r="A69" s="12">
        <v>44894</v>
      </c>
      <c r="B69" s="20">
        <v>24800</v>
      </c>
      <c r="C69" s="20">
        <v>36300</v>
      </c>
      <c r="D69" s="20">
        <v>28400</v>
      </c>
      <c r="E69" s="20">
        <v>53500</v>
      </c>
      <c r="F69" s="20">
        <v>65000</v>
      </c>
      <c r="G69" s="14">
        <f t="shared" si="8"/>
        <v>-8.0000000000000071E-3</v>
      </c>
      <c r="H69" s="14">
        <f t="shared" si="8"/>
        <v>-1.2244897959183709E-2</v>
      </c>
      <c r="I69" s="14">
        <f t="shared" si="8"/>
        <v>1.4285714285714235E-2</v>
      </c>
      <c r="J69" s="14">
        <f t="shared" si="8"/>
        <v>-3.4296028880866469E-2</v>
      </c>
      <c r="K69" s="14">
        <f t="shared" si="8"/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5">
      <c r="A70" s="12">
        <v>44893</v>
      </c>
      <c r="B70" s="20">
        <v>25000</v>
      </c>
      <c r="C70" s="20">
        <v>36750</v>
      </c>
      <c r="D70" s="20">
        <v>28000</v>
      </c>
      <c r="E70" s="20">
        <v>55400</v>
      </c>
      <c r="F70" s="20">
        <v>65000</v>
      </c>
      <c r="G70" s="14">
        <f t="shared" si="8"/>
        <v>3.7344398340249052E-2</v>
      </c>
      <c r="H70" s="14">
        <f t="shared" si="8"/>
        <v>0</v>
      </c>
      <c r="I70" s="14">
        <f t="shared" si="8"/>
        <v>3.3210332103321027E-2</v>
      </c>
      <c r="J70" s="14">
        <f t="shared" si="8"/>
        <v>-1.0714285714285676E-2</v>
      </c>
      <c r="K70" s="14">
        <f t="shared" si="8"/>
        <v>1.5408320493066618E-3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5">
      <c r="A71" s="12">
        <v>44890</v>
      </c>
      <c r="B71" s="20">
        <v>24100</v>
      </c>
      <c r="C71" s="20">
        <v>36750</v>
      </c>
      <c r="D71" s="20">
        <v>27100</v>
      </c>
      <c r="E71" s="20">
        <v>56000</v>
      </c>
      <c r="F71" s="20">
        <v>64900</v>
      </c>
      <c r="G71" s="14">
        <f t="shared" si="8"/>
        <v>-8.2304526748970819E-3</v>
      </c>
      <c r="H71" s="14">
        <f t="shared" si="8"/>
        <v>0</v>
      </c>
      <c r="I71" s="14">
        <f t="shared" si="8"/>
        <v>-1.4545454545454528E-2</v>
      </c>
      <c r="J71" s="14">
        <f t="shared" si="8"/>
        <v>3.512014787430684E-2</v>
      </c>
      <c r="K71" s="14">
        <f t="shared" si="8"/>
        <v>-2.4060150375939893E-2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5">
      <c r="A72" s="12">
        <v>44889</v>
      </c>
      <c r="B72" s="20">
        <v>24300</v>
      </c>
      <c r="C72" s="20">
        <v>36750</v>
      </c>
      <c r="D72" s="20">
        <v>27500</v>
      </c>
      <c r="E72" s="20">
        <v>54100</v>
      </c>
      <c r="F72" s="20">
        <v>66500</v>
      </c>
      <c r="G72" s="14">
        <f t="shared" si="8"/>
        <v>2.9661016949152463E-2</v>
      </c>
      <c r="H72" s="14">
        <f t="shared" si="8"/>
        <v>8.2304526748970819E-3</v>
      </c>
      <c r="I72" s="14">
        <f t="shared" si="8"/>
        <v>1.8518518518518601E-2</v>
      </c>
      <c r="J72" s="14">
        <f t="shared" si="8"/>
        <v>6.9169960474308345E-2</v>
      </c>
      <c r="K72" s="14">
        <f t="shared" si="8"/>
        <v>2.1505376344086002E-2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5">
      <c r="A73" s="12">
        <v>44888</v>
      </c>
      <c r="B73" s="20">
        <v>23600</v>
      </c>
      <c r="C73" s="20">
        <v>36450</v>
      </c>
      <c r="D73" s="20">
        <v>27000</v>
      </c>
      <c r="E73" s="20">
        <v>50600</v>
      </c>
      <c r="F73" s="20">
        <v>65100</v>
      </c>
      <c r="G73" s="14">
        <f t="shared" si="8"/>
        <v>1.7241379310344751E-2</v>
      </c>
      <c r="H73" s="14">
        <f t="shared" si="8"/>
        <v>3.2577903682719622E-2</v>
      </c>
      <c r="I73" s="14">
        <f t="shared" si="8"/>
        <v>1.8867924528301883E-2</v>
      </c>
      <c r="J73" s="14">
        <f t="shared" si="8"/>
        <v>0</v>
      </c>
      <c r="K73" s="14">
        <f t="shared" si="8"/>
        <v>9.302325581395321E-3</v>
      </c>
      <c r="L73" s="1"/>
      <c r="M73" s="1"/>
      <c r="N73" s="1"/>
      <c r="O73" s="1"/>
      <c r="P73" s="1"/>
      <c r="Q73" s="1"/>
    </row>
    <row r="74" spans="1:27" x14ac:dyDescent="0.35">
      <c r="A74" s="12">
        <v>44887</v>
      </c>
      <c r="B74" s="20">
        <v>23200</v>
      </c>
      <c r="C74" s="20">
        <v>35300</v>
      </c>
      <c r="D74" s="20">
        <v>26500</v>
      </c>
      <c r="E74" s="20">
        <v>50600</v>
      </c>
      <c r="F74" s="20">
        <v>64500</v>
      </c>
      <c r="G74" s="14">
        <f t="shared" si="8"/>
        <v>-3.3333333333333326E-2</v>
      </c>
      <c r="H74" s="14">
        <f t="shared" si="8"/>
        <v>0</v>
      </c>
      <c r="I74" s="14">
        <f t="shared" si="8"/>
        <v>-2.5735294117647078E-2</v>
      </c>
      <c r="J74" s="14">
        <f t="shared" si="8"/>
        <v>-9.7847358121331274E-3</v>
      </c>
      <c r="K74" s="14">
        <f t="shared" si="8"/>
        <v>4.0322580645161255E-2</v>
      </c>
      <c r="L74" s="1"/>
      <c r="M74" s="1"/>
      <c r="N74" s="1"/>
      <c r="O74" s="1"/>
      <c r="P74" s="1"/>
      <c r="Q74" s="1"/>
    </row>
    <row r="75" spans="1:27" x14ac:dyDescent="0.35">
      <c r="A75" s="12">
        <v>44886</v>
      </c>
      <c r="B75" s="20">
        <v>24000</v>
      </c>
      <c r="C75" s="20">
        <v>35300</v>
      </c>
      <c r="D75" s="20">
        <v>27200</v>
      </c>
      <c r="E75" s="20">
        <v>51100</v>
      </c>
      <c r="F75" s="20">
        <v>62000</v>
      </c>
      <c r="G75" s="14">
        <f t="shared" si="8"/>
        <v>5.7268722466960353E-2</v>
      </c>
      <c r="H75" s="14">
        <f t="shared" si="8"/>
        <v>2.9154518950437414E-2</v>
      </c>
      <c r="I75" s="14">
        <f t="shared" si="8"/>
        <v>2.6415094339622636E-2</v>
      </c>
      <c r="J75" s="14">
        <f t="shared" si="8"/>
        <v>7.8895463510848529E-3</v>
      </c>
      <c r="K75" s="14">
        <f t="shared" si="8"/>
        <v>6.3464837049742817E-2</v>
      </c>
      <c r="L75" s="1"/>
      <c r="M75" s="1"/>
      <c r="N75" s="1"/>
      <c r="O75" s="1"/>
      <c r="P75" s="1"/>
      <c r="Q75" s="1"/>
    </row>
    <row r="76" spans="1:27" x14ac:dyDescent="0.35">
      <c r="A76" s="12">
        <v>44883</v>
      </c>
      <c r="B76" s="20">
        <v>22700</v>
      </c>
      <c r="C76" s="20">
        <v>34300</v>
      </c>
      <c r="D76" s="20">
        <v>26500</v>
      </c>
      <c r="E76" s="20">
        <v>50700</v>
      </c>
      <c r="F76" s="20">
        <v>58300</v>
      </c>
      <c r="G76" s="14">
        <f t="shared" si="8"/>
        <v>-4.3859649122807154E-3</v>
      </c>
      <c r="H76" s="14">
        <f t="shared" si="8"/>
        <v>1.4792899408283988E-2</v>
      </c>
      <c r="I76" s="14">
        <f t="shared" si="8"/>
        <v>-1.4869888475836479E-2</v>
      </c>
      <c r="J76" s="14">
        <f t="shared" si="8"/>
        <v>5.9523809523809312E-3</v>
      </c>
      <c r="K76" s="14">
        <f t="shared" si="8"/>
        <v>-5.1194539249146409E-3</v>
      </c>
      <c r="L76" s="1"/>
      <c r="M76" s="1"/>
      <c r="N76" s="1"/>
      <c r="O76" s="1"/>
      <c r="P76" s="1"/>
      <c r="Q76" s="1"/>
    </row>
    <row r="77" spans="1:27" x14ac:dyDescent="0.35">
      <c r="A77" s="12">
        <v>44882</v>
      </c>
      <c r="B77" s="20">
        <v>22800</v>
      </c>
      <c r="C77" s="20">
        <v>33800</v>
      </c>
      <c r="D77" s="20">
        <v>26900</v>
      </c>
      <c r="E77" s="20">
        <v>50400</v>
      </c>
      <c r="F77" s="20">
        <v>58600</v>
      </c>
      <c r="G77" s="14">
        <f t="shared" si="8"/>
        <v>1.3333333333333419E-2</v>
      </c>
      <c r="H77" s="14">
        <f t="shared" si="8"/>
        <v>3.0487804878048808E-2</v>
      </c>
      <c r="I77" s="14">
        <f t="shared" si="8"/>
        <v>7.6000000000000068E-2</v>
      </c>
      <c r="J77" s="14">
        <f t="shared" si="8"/>
        <v>1.9880715705764551E-3</v>
      </c>
      <c r="K77" s="14">
        <f t="shared" si="8"/>
        <v>3.7168141592920367E-2</v>
      </c>
      <c r="L77" s="1"/>
      <c r="M77" s="1"/>
      <c r="N77" s="1"/>
      <c r="O77" s="1"/>
      <c r="P77" s="1"/>
      <c r="Q77" s="1"/>
    </row>
    <row r="78" spans="1:27" x14ac:dyDescent="0.35">
      <c r="A78" s="12">
        <v>44881</v>
      </c>
      <c r="B78" s="20">
        <v>22500</v>
      </c>
      <c r="C78" s="20">
        <v>32800</v>
      </c>
      <c r="D78" s="20">
        <v>25000</v>
      </c>
      <c r="E78" s="20">
        <v>50300</v>
      </c>
      <c r="F78" s="20">
        <v>56500</v>
      </c>
      <c r="G78" s="14">
        <f t="shared" si="8"/>
        <v>-9.2741935483870996E-2</v>
      </c>
      <c r="H78" s="14">
        <f t="shared" si="8"/>
        <v>-1.6491754122938573E-2</v>
      </c>
      <c r="I78" s="14">
        <f t="shared" si="8"/>
        <v>-7.7490774907749027E-2</v>
      </c>
      <c r="J78" s="14">
        <f t="shared" si="8"/>
        <v>-5.9288537549406772E-3</v>
      </c>
      <c r="K78" s="14">
        <f t="shared" si="8"/>
        <v>0</v>
      </c>
      <c r="L78" s="1"/>
      <c r="M78" s="1"/>
      <c r="N78" s="1"/>
      <c r="O78" s="1"/>
      <c r="P78" s="1"/>
      <c r="Q78" s="1"/>
    </row>
    <row r="79" spans="1:27" x14ac:dyDescent="0.35">
      <c r="A79" s="12">
        <v>44880</v>
      </c>
      <c r="B79" s="20">
        <v>24800</v>
      </c>
      <c r="C79" s="20">
        <v>33350</v>
      </c>
      <c r="D79" s="20">
        <v>27100</v>
      </c>
      <c r="E79" s="20">
        <v>50600</v>
      </c>
      <c r="F79" s="20">
        <v>56500</v>
      </c>
      <c r="G79" s="14">
        <f t="shared" si="8"/>
        <v>-1.9762845849802368E-2</v>
      </c>
      <c r="H79" s="14">
        <f t="shared" si="8"/>
        <v>4.5180722891566827E-3</v>
      </c>
      <c r="I79" s="14">
        <f t="shared" si="8"/>
        <v>-2.5179856115107868E-2</v>
      </c>
      <c r="J79" s="14">
        <f t="shared" si="8"/>
        <v>-1.9723865877712132E-3</v>
      </c>
      <c r="K79" s="14">
        <f t="shared" si="8"/>
        <v>-1.0507880910682998E-2</v>
      </c>
      <c r="L79" s="1"/>
      <c r="M79" s="1"/>
      <c r="N79" s="1"/>
      <c r="O79" s="1"/>
      <c r="P79" s="1"/>
      <c r="Q79" s="1"/>
    </row>
    <row r="80" spans="1:27" x14ac:dyDescent="0.35">
      <c r="A80" s="12">
        <v>44879</v>
      </c>
      <c r="B80" s="20">
        <v>25300</v>
      </c>
      <c r="C80" s="20">
        <v>33200</v>
      </c>
      <c r="D80" s="20">
        <v>27800</v>
      </c>
      <c r="E80" s="20">
        <v>50700</v>
      </c>
      <c r="F80" s="20">
        <v>57100</v>
      </c>
      <c r="G80" s="14">
        <f t="shared" si="8"/>
        <v>0</v>
      </c>
      <c r="H80" s="14">
        <f t="shared" si="8"/>
        <v>1.0654490106544845E-2</v>
      </c>
      <c r="I80" s="14">
        <f t="shared" si="8"/>
        <v>4.9056603773584895E-2</v>
      </c>
      <c r="J80" s="14">
        <f t="shared" si="8"/>
        <v>5.9523809523809312E-3</v>
      </c>
      <c r="K80" s="14">
        <f t="shared" si="8"/>
        <v>2.8828828828828756E-2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5">
      <c r="A81" s="12">
        <v>44876</v>
      </c>
      <c r="B81" s="20">
        <v>25300</v>
      </c>
      <c r="C81" s="20">
        <v>32850</v>
      </c>
      <c r="D81" s="20">
        <v>26500</v>
      </c>
      <c r="E81" s="20">
        <v>50400</v>
      </c>
      <c r="F81" s="20">
        <v>55500</v>
      </c>
      <c r="G81" s="14">
        <f t="shared" si="8"/>
        <v>-1.5564202334630295E-2</v>
      </c>
      <c r="H81" s="14">
        <f t="shared" si="8"/>
        <v>3.0534351145037331E-3</v>
      </c>
      <c r="I81" s="14">
        <f t="shared" si="8"/>
        <v>-2.9304029304029311E-2</v>
      </c>
      <c r="J81" s="14">
        <f t="shared" si="8"/>
        <v>-1.980198019801982E-3</v>
      </c>
      <c r="K81" s="14">
        <f t="shared" si="8"/>
        <v>-2.4604569420035194E-2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5">
      <c r="A82" s="12">
        <v>44875</v>
      </c>
      <c r="B82" s="20">
        <v>25700</v>
      </c>
      <c r="C82" s="20">
        <v>32750</v>
      </c>
      <c r="D82" s="20">
        <v>27300</v>
      </c>
      <c r="E82" s="20">
        <v>50500</v>
      </c>
      <c r="F82" s="20">
        <v>56900</v>
      </c>
      <c r="G82" s="14">
        <f t="shared" si="8"/>
        <v>5.7613168724279795E-2</v>
      </c>
      <c r="H82" s="14">
        <f t="shared" si="8"/>
        <v>3.3123028391167209E-2</v>
      </c>
      <c r="I82" s="14">
        <f t="shared" si="8"/>
        <v>9.6385542168674787E-2</v>
      </c>
      <c r="J82" s="14">
        <f t="shared" si="8"/>
        <v>1.9841269841269771E-3</v>
      </c>
      <c r="K82" s="14">
        <f t="shared" si="8"/>
        <v>2.3381294964028854E-2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5">
      <c r="A83" s="12">
        <v>44874</v>
      </c>
      <c r="B83" s="20">
        <v>24300</v>
      </c>
      <c r="C83" s="20">
        <v>31700</v>
      </c>
      <c r="D83" s="20">
        <v>24900</v>
      </c>
      <c r="E83" s="20">
        <v>50400</v>
      </c>
      <c r="F83" s="20">
        <v>55600</v>
      </c>
      <c r="G83" s="14">
        <f t="shared" si="8"/>
        <v>3.8461538461538547E-2</v>
      </c>
      <c r="H83" s="14">
        <f t="shared" si="8"/>
        <v>-6.7647058823529393E-2</v>
      </c>
      <c r="I83" s="14">
        <f t="shared" si="8"/>
        <v>-9.4545454545454599E-2</v>
      </c>
      <c r="J83" s="14">
        <f t="shared" si="8"/>
        <v>-1.5625E-2</v>
      </c>
      <c r="K83" s="14">
        <f t="shared" si="8"/>
        <v>-6.8676716917922986E-2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5">
      <c r="A84" s="12">
        <v>44873</v>
      </c>
      <c r="B84" s="20">
        <v>23400</v>
      </c>
      <c r="C84" s="20">
        <v>34000</v>
      </c>
      <c r="D84" s="20">
        <v>27500</v>
      </c>
      <c r="E84" s="20">
        <v>51200</v>
      </c>
      <c r="F84" s="20">
        <v>59700</v>
      </c>
      <c r="G84" s="14">
        <f t="shared" si="8"/>
        <v>-5.6451612903225756E-2</v>
      </c>
      <c r="H84" s="14">
        <f t="shared" si="8"/>
        <v>-2.2988505747126409E-2</v>
      </c>
      <c r="I84" s="14">
        <f t="shared" si="8"/>
        <v>-9.539473684210531E-2</v>
      </c>
      <c r="J84" s="14">
        <f t="shared" si="8"/>
        <v>-3.8910505836575737E-3</v>
      </c>
      <c r="K84" s="14">
        <f t="shared" si="8"/>
        <v>-2.9268292682926855E-2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5">
      <c r="A85" s="12">
        <v>44872</v>
      </c>
      <c r="B85" s="20">
        <v>24800</v>
      </c>
      <c r="C85" s="20">
        <v>34800</v>
      </c>
      <c r="D85" s="20">
        <v>30400</v>
      </c>
      <c r="E85" s="20">
        <v>51400</v>
      </c>
      <c r="F85" s="20">
        <v>61500</v>
      </c>
      <c r="G85" s="14">
        <f t="shared" si="8"/>
        <v>-4.0160642570281624E-3</v>
      </c>
      <c r="H85" s="14">
        <f t="shared" si="8"/>
        <v>-3.4674063800277377E-2</v>
      </c>
      <c r="I85" s="14">
        <f t="shared" si="8"/>
        <v>-3.2786885245901232E-3</v>
      </c>
      <c r="J85" s="14">
        <f t="shared" si="8"/>
        <v>3.90625E-3</v>
      </c>
      <c r="K85" s="14">
        <f t="shared" si="8"/>
        <v>1.6286644951140072E-3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5">
      <c r="A86" s="12">
        <v>44869</v>
      </c>
      <c r="B86" s="20">
        <v>24900</v>
      </c>
      <c r="C86" s="20">
        <v>36050</v>
      </c>
      <c r="D86" s="20">
        <v>30500</v>
      </c>
      <c r="E86" s="20">
        <v>51200</v>
      </c>
      <c r="F86" s="20">
        <v>61400</v>
      </c>
      <c r="G86" s="14">
        <f t="shared" si="8"/>
        <v>-4.0000000000000036E-3</v>
      </c>
      <c r="H86" s="14">
        <f t="shared" si="8"/>
        <v>-4.1436464088397962E-3</v>
      </c>
      <c r="I86" s="14">
        <f t="shared" si="8"/>
        <v>3.0405405405405483E-2</v>
      </c>
      <c r="J86" s="14">
        <f t="shared" si="8"/>
        <v>1.1857707509881354E-2</v>
      </c>
      <c r="K86" s="14">
        <f t="shared" si="8"/>
        <v>-9.6774193548386789E-3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5">
      <c r="A87" s="12">
        <v>44868</v>
      </c>
      <c r="B87" s="20">
        <v>25000</v>
      </c>
      <c r="C87" s="20">
        <v>36200</v>
      </c>
      <c r="D87" s="20">
        <v>29600</v>
      </c>
      <c r="E87" s="20">
        <v>50600</v>
      </c>
      <c r="F87" s="20">
        <v>62000</v>
      </c>
      <c r="G87" s="14">
        <f t="shared" si="8"/>
        <v>-7.407407407407407E-2</v>
      </c>
      <c r="H87" s="14">
        <f t="shared" si="8"/>
        <v>-1.2278308321964526E-2</v>
      </c>
      <c r="I87" s="14">
        <f t="shared" si="8"/>
        <v>-9.7560975609756073E-2</v>
      </c>
      <c r="J87" s="14">
        <f t="shared" si="8"/>
        <v>-1.747572815533982E-2</v>
      </c>
      <c r="K87" s="14">
        <f t="shared" si="8"/>
        <v>-4.3209876543209846E-2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5">
      <c r="A88" s="12">
        <v>44867</v>
      </c>
      <c r="B88" s="20">
        <v>27000</v>
      </c>
      <c r="C88" s="20">
        <v>36650</v>
      </c>
      <c r="D88" s="20">
        <v>32800</v>
      </c>
      <c r="E88" s="20">
        <v>51500</v>
      </c>
      <c r="F88" s="20">
        <v>64800</v>
      </c>
      <c r="G88" s="14">
        <f t="shared" si="8"/>
        <v>-3.9145907473309594E-2</v>
      </c>
      <c r="H88" s="14">
        <f t="shared" si="8"/>
        <v>-1.7426273458445052E-2</v>
      </c>
      <c r="I88" s="14">
        <f t="shared" si="8"/>
        <v>-3.5294117647058809E-2</v>
      </c>
      <c r="J88" s="14">
        <f t="shared" si="8"/>
        <v>-1.9379844961240345E-3</v>
      </c>
      <c r="K88" s="14">
        <f t="shared" si="8"/>
        <v>3.0959752321981782E-3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5">
      <c r="A89" s="12">
        <v>44866</v>
      </c>
      <c r="B89" s="20">
        <v>28100</v>
      </c>
      <c r="C89" s="20">
        <v>37300</v>
      </c>
      <c r="D89" s="20">
        <v>34000</v>
      </c>
      <c r="E89" s="20">
        <v>51600</v>
      </c>
      <c r="F89" s="20">
        <v>64600</v>
      </c>
      <c r="G89" s="14">
        <f t="shared" si="8"/>
        <v>-7.0671378091873294E-3</v>
      </c>
      <c r="H89" s="14">
        <f t="shared" si="8"/>
        <v>1.3586956521739024E-2</v>
      </c>
      <c r="I89" s="14">
        <f t="shared" si="8"/>
        <v>2.7190332326284095E-2</v>
      </c>
      <c r="J89" s="14">
        <f t="shared" si="8"/>
        <v>-3.8610038610038533E-3</v>
      </c>
      <c r="K89" s="14">
        <f t="shared" si="8"/>
        <v>4.870129870129869E-2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5">
      <c r="A90" s="12">
        <v>44865</v>
      </c>
      <c r="B90" s="20">
        <v>28300</v>
      </c>
      <c r="C90" s="20">
        <v>36800</v>
      </c>
      <c r="D90" s="20">
        <v>33100</v>
      </c>
      <c r="E90" s="20">
        <v>51800</v>
      </c>
      <c r="F90" s="20">
        <v>61600</v>
      </c>
      <c r="G90" s="14">
        <f t="shared" si="8"/>
        <v>-1.736111111111116E-2</v>
      </c>
      <c r="H90" s="14">
        <f t="shared" si="8"/>
        <v>2.7247956403269047E-3</v>
      </c>
      <c r="I90" s="14">
        <f t="shared" si="8"/>
        <v>9.9667774086378724E-2</v>
      </c>
      <c r="J90" s="14">
        <f t="shared" si="8"/>
        <v>1.171875E-2</v>
      </c>
      <c r="K90" s="14">
        <f t="shared" si="8"/>
        <v>3.3557046979865834E-2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5">
      <c r="A91" s="12">
        <v>44862</v>
      </c>
      <c r="B91" s="20">
        <v>28800</v>
      </c>
      <c r="C91" s="20">
        <v>36700</v>
      </c>
      <c r="D91" s="20">
        <v>30100</v>
      </c>
      <c r="E91" s="20">
        <v>51200</v>
      </c>
      <c r="F91" s="20">
        <v>59600</v>
      </c>
      <c r="G91" s="14">
        <f t="shared" si="8"/>
        <v>-3.3557046979865723E-2</v>
      </c>
      <c r="H91" s="14">
        <f t="shared" si="8"/>
        <v>-1.0781671159029615E-2</v>
      </c>
      <c r="I91" s="14">
        <f t="shared" si="8"/>
        <v>-1.9543973941368087E-2</v>
      </c>
      <c r="J91" s="14">
        <f t="shared" si="8"/>
        <v>3.9215686274509665E-3</v>
      </c>
      <c r="K91" s="14">
        <f t="shared" si="8"/>
        <v>6.7567567567567988E-3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5">
      <c r="A92" s="12">
        <v>44861</v>
      </c>
      <c r="B92" s="20">
        <v>29800</v>
      </c>
      <c r="C92" s="20">
        <v>37100</v>
      </c>
      <c r="D92" s="20">
        <v>30700</v>
      </c>
      <c r="E92" s="20">
        <v>51000</v>
      </c>
      <c r="F92" s="20">
        <v>59200</v>
      </c>
      <c r="G92" s="14">
        <f t="shared" si="8"/>
        <v>-2.2950819672131195E-2</v>
      </c>
      <c r="H92" s="14">
        <f t="shared" si="8"/>
        <v>5.4200542005420349E-3</v>
      </c>
      <c r="I92" s="14">
        <f t="shared" si="8"/>
        <v>-1.2861736334405127E-2</v>
      </c>
      <c r="J92" s="14">
        <f t="shared" si="8"/>
        <v>1.9646365422396617E-3</v>
      </c>
      <c r="K92" s="14">
        <f t="shared" si="8"/>
        <v>1.3698630136986356E-2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5">
      <c r="A93" s="12">
        <v>44860</v>
      </c>
      <c r="B93" s="20">
        <v>30500</v>
      </c>
      <c r="C93" s="20">
        <v>36900</v>
      </c>
      <c r="D93" s="20">
        <v>31100</v>
      </c>
      <c r="E93" s="20">
        <v>50900</v>
      </c>
      <c r="F93" s="20">
        <v>58400</v>
      </c>
      <c r="G93" s="14">
        <f t="shared" si="8"/>
        <v>6.6006600660066805E-3</v>
      </c>
      <c r="H93" s="14">
        <f t="shared" si="8"/>
        <v>2.7173913043478937E-3</v>
      </c>
      <c r="I93" s="14">
        <f t="shared" si="8"/>
        <v>1.9672131147540961E-2</v>
      </c>
      <c r="J93" s="14">
        <f t="shared" si="8"/>
        <v>1.1928429423459175E-2</v>
      </c>
      <c r="K93" s="14">
        <f t="shared" si="8"/>
        <v>3.4364261168384758E-3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5">
      <c r="A94" s="12">
        <v>44859</v>
      </c>
      <c r="B94" s="20">
        <v>30300</v>
      </c>
      <c r="C94" s="20">
        <v>36800</v>
      </c>
      <c r="D94" s="20">
        <v>30500</v>
      </c>
      <c r="E94" s="20">
        <v>50300</v>
      </c>
      <c r="F94" s="20">
        <v>58200</v>
      </c>
      <c r="G94" s="14">
        <f t="shared" si="8"/>
        <v>2.7118644067796627E-2</v>
      </c>
      <c r="H94" s="14">
        <f t="shared" si="8"/>
        <v>-5.4054054054053502E-3</v>
      </c>
      <c r="I94" s="14">
        <f t="shared" si="8"/>
        <v>6.643356643356646E-2</v>
      </c>
      <c r="J94" s="14">
        <f t="shared" si="8"/>
        <v>3.9920159680639777E-3</v>
      </c>
      <c r="K94" s="14">
        <f t="shared" si="8"/>
        <v>-8.5178875638841633E-3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5">
      <c r="A95" s="12">
        <v>44858</v>
      </c>
      <c r="B95" s="20">
        <v>29500</v>
      </c>
      <c r="C95" s="20">
        <v>37000</v>
      </c>
      <c r="D95" s="20">
        <v>28600</v>
      </c>
      <c r="E95" s="20">
        <v>50100</v>
      </c>
      <c r="F95" s="20">
        <v>58700</v>
      </c>
      <c r="G95" s="14">
        <f t="shared" si="8"/>
        <v>-1.3377926421404673E-2</v>
      </c>
      <c r="H95" s="14">
        <f t="shared" si="8"/>
        <v>-2.3746701846965701E-2</v>
      </c>
      <c r="I95" s="14">
        <f t="shared" si="8"/>
        <v>-1.038062283737029E-2</v>
      </c>
      <c r="J95" s="14">
        <f t="shared" si="8"/>
        <v>4.0080160320641323E-3</v>
      </c>
      <c r="K95" s="14">
        <f t="shared" si="8"/>
        <v>-5.0847457627118953E-3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5">
      <c r="A96" s="12">
        <v>44855</v>
      </c>
      <c r="B96" s="20">
        <v>29900</v>
      </c>
      <c r="C96" s="20">
        <v>37900</v>
      </c>
      <c r="D96" s="20">
        <v>28900</v>
      </c>
      <c r="E96" s="20">
        <v>49900</v>
      </c>
      <c r="F96" s="20">
        <v>59000</v>
      </c>
      <c r="G96" s="14">
        <f t="shared" si="8"/>
        <v>-1.9672131147540961E-2</v>
      </c>
      <c r="H96" s="14">
        <f t="shared" si="8"/>
        <v>1.6085790884718509E-2</v>
      </c>
      <c r="I96" s="14">
        <f t="shared" si="8"/>
        <v>1.4035087719298289E-2</v>
      </c>
      <c r="J96" s="14">
        <f t="shared" si="8"/>
        <v>-2.0000000000000018E-3</v>
      </c>
      <c r="K96" s="14">
        <f t="shared" si="8"/>
        <v>-1.9933554817275767E-2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5">
      <c r="A97" s="12">
        <v>44854</v>
      </c>
      <c r="B97" s="20">
        <v>30500</v>
      </c>
      <c r="C97" s="20">
        <v>37300</v>
      </c>
      <c r="D97" s="20">
        <v>28500</v>
      </c>
      <c r="E97" s="20">
        <v>50000</v>
      </c>
      <c r="F97" s="20">
        <v>60200</v>
      </c>
      <c r="G97" s="14">
        <f t="shared" si="8"/>
        <v>3.2894736842106198E-3</v>
      </c>
      <c r="H97" s="14">
        <f t="shared" si="8"/>
        <v>-2.3560209424083767E-2</v>
      </c>
      <c r="I97" s="14">
        <f t="shared" si="8"/>
        <v>0</v>
      </c>
      <c r="J97" s="14">
        <f t="shared" si="8"/>
        <v>-9.9009900990099098E-3</v>
      </c>
      <c r="K97" s="14">
        <f t="shared" si="8"/>
        <v>8.3752093802345051E-3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5">
      <c r="A98" s="12">
        <v>44853</v>
      </c>
      <c r="B98" s="20">
        <v>30400</v>
      </c>
      <c r="C98" s="20">
        <v>38200</v>
      </c>
      <c r="D98" s="20">
        <v>28500</v>
      </c>
      <c r="E98" s="20">
        <v>50500</v>
      </c>
      <c r="F98" s="20">
        <v>59700</v>
      </c>
      <c r="G98" s="14">
        <f t="shared" si="8"/>
        <v>1.6722408026755842E-2</v>
      </c>
      <c r="H98" s="14">
        <f t="shared" si="8"/>
        <v>-2.0512820512820551E-2</v>
      </c>
      <c r="I98" s="14">
        <f t="shared" si="8"/>
        <v>7.0671378091873294E-3</v>
      </c>
      <c r="J98" s="14">
        <f t="shared" si="8"/>
        <v>-5.9055118110236116E-3</v>
      </c>
      <c r="K98" s="14">
        <f t="shared" si="8"/>
        <v>-9.9502487562188602E-3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5">
      <c r="A99" s="12">
        <v>44852</v>
      </c>
      <c r="B99" s="20">
        <v>29900</v>
      </c>
      <c r="C99" s="20">
        <v>39000</v>
      </c>
      <c r="D99" s="20">
        <v>28300</v>
      </c>
      <c r="E99" s="20">
        <v>50800</v>
      </c>
      <c r="F99" s="20">
        <v>60300</v>
      </c>
      <c r="G99" s="14">
        <f t="shared" si="8"/>
        <v>-3.3333333333332993E-3</v>
      </c>
      <c r="H99" s="14">
        <f t="shared" si="8"/>
        <v>0</v>
      </c>
      <c r="I99" s="14">
        <f t="shared" si="8"/>
        <v>7.1174377224199059E-3</v>
      </c>
      <c r="J99" s="14">
        <f t="shared" si="8"/>
        <v>5.9405940594059459E-3</v>
      </c>
      <c r="K99" s="14">
        <f t="shared" si="8"/>
        <v>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5">
      <c r="A100" s="12">
        <v>44851</v>
      </c>
      <c r="B100" s="20">
        <v>30000</v>
      </c>
      <c r="C100" s="20">
        <v>39000</v>
      </c>
      <c r="D100" s="20">
        <v>28100</v>
      </c>
      <c r="E100" s="20">
        <v>50500</v>
      </c>
      <c r="F100" s="20">
        <v>60300</v>
      </c>
      <c r="G100" s="14">
        <f t="shared" si="8"/>
        <v>2.3890784982935065E-2</v>
      </c>
      <c r="H100" s="14">
        <f t="shared" si="8"/>
        <v>3.4482758620689724E-2</v>
      </c>
      <c r="I100" s="14">
        <f t="shared" si="8"/>
        <v>-3.5460992907800915E-3</v>
      </c>
      <c r="J100" s="14">
        <f t="shared" si="8"/>
        <v>0</v>
      </c>
      <c r="K100" s="14">
        <f t="shared" si="8"/>
        <v>2.2033898305084731E-2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5">
      <c r="A101" s="12">
        <v>44848</v>
      </c>
      <c r="B101" s="20">
        <v>29300</v>
      </c>
      <c r="C101" s="20">
        <v>37700</v>
      </c>
      <c r="D101" s="20">
        <v>28200</v>
      </c>
      <c r="E101" s="20">
        <v>50500</v>
      </c>
      <c r="F101" s="20">
        <v>59000</v>
      </c>
      <c r="G101" s="14">
        <f t="shared" si="8"/>
        <v>2.0905923344947785E-2</v>
      </c>
      <c r="H101" s="14">
        <f t="shared" si="8"/>
        <v>2.4456521739130377E-2</v>
      </c>
      <c r="I101" s="14">
        <f t="shared" si="8"/>
        <v>-2.083333333333337E-2</v>
      </c>
      <c r="J101" s="14">
        <f t="shared" si="8"/>
        <v>-1.3671875E-2</v>
      </c>
      <c r="K101" s="14">
        <f t="shared" si="8"/>
        <v>-2.960526315789469E-2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5">
      <c r="A102" s="12">
        <v>44847</v>
      </c>
      <c r="B102" s="20">
        <v>28700</v>
      </c>
      <c r="C102" s="20">
        <v>36800</v>
      </c>
      <c r="D102" s="20">
        <v>28800</v>
      </c>
      <c r="E102" s="20">
        <v>51200</v>
      </c>
      <c r="F102" s="20">
        <v>60800</v>
      </c>
      <c r="G102" s="14">
        <f t="shared" si="8"/>
        <v>-2.0477815699658675E-2</v>
      </c>
      <c r="H102" s="14">
        <f t="shared" si="8"/>
        <v>5.464480874316946E-3</v>
      </c>
      <c r="I102" s="14">
        <f t="shared" si="8"/>
        <v>-1.7064846416382284E-2</v>
      </c>
      <c r="J102" s="14">
        <f t="shared" si="8"/>
        <v>1.9569471624265589E-3</v>
      </c>
      <c r="K102" s="14">
        <f t="shared" si="8"/>
        <v>1.3333333333333419E-2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5">
      <c r="A103" s="12">
        <v>44846</v>
      </c>
      <c r="B103" s="20">
        <v>29300</v>
      </c>
      <c r="C103" s="20">
        <v>36600</v>
      </c>
      <c r="D103" s="20">
        <v>29300</v>
      </c>
      <c r="E103" s="20">
        <v>51100</v>
      </c>
      <c r="F103" s="20">
        <v>60000</v>
      </c>
      <c r="G103" s="14">
        <f t="shared" si="8"/>
        <v>3.900709219858145E-2</v>
      </c>
      <c r="H103" s="14">
        <f t="shared" si="8"/>
        <v>-2.7247956403270157E-3</v>
      </c>
      <c r="I103" s="14">
        <f t="shared" si="8"/>
        <v>3.900709219858145E-2</v>
      </c>
      <c r="J103" s="14">
        <f t="shared" si="8"/>
        <v>1.9607843137254832E-3</v>
      </c>
      <c r="K103" s="14">
        <f t="shared" si="8"/>
        <v>-1.1532125205930832E-2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5">
      <c r="A104" s="12">
        <v>44845</v>
      </c>
      <c r="B104" s="20">
        <v>28200</v>
      </c>
      <c r="C104" s="20">
        <v>36700</v>
      </c>
      <c r="D104" s="20">
        <v>28200</v>
      </c>
      <c r="E104" s="20">
        <v>51000</v>
      </c>
      <c r="F104" s="20">
        <v>60700</v>
      </c>
      <c r="G104" s="14">
        <f t="shared" si="8"/>
        <v>4.8327137546468446E-2</v>
      </c>
      <c r="H104" s="14">
        <f t="shared" si="8"/>
        <v>2.732240437158362E-3</v>
      </c>
      <c r="I104" s="14">
        <f t="shared" si="8"/>
        <v>3.2967032967033072E-2</v>
      </c>
      <c r="J104" s="14">
        <f t="shared" si="8"/>
        <v>1.3916500994035852E-2</v>
      </c>
      <c r="K104" s="14">
        <f t="shared" si="8"/>
        <v>4.8359240069084652E-2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5">
      <c r="A105" s="12">
        <v>44844</v>
      </c>
      <c r="B105" s="20">
        <v>26900</v>
      </c>
      <c r="C105" s="20">
        <v>36600</v>
      </c>
      <c r="D105" s="20">
        <v>27300</v>
      </c>
      <c r="E105" s="20">
        <v>50300</v>
      </c>
      <c r="F105" s="20">
        <v>57900</v>
      </c>
      <c r="G105" s="14">
        <f t="shared" si="8"/>
        <v>-5.2816901408450745E-2</v>
      </c>
      <c r="H105" s="14">
        <f t="shared" si="8"/>
        <v>6.8613138686131281E-2</v>
      </c>
      <c r="I105" s="14">
        <f t="shared" si="8"/>
        <v>-1.4440433212996373E-2</v>
      </c>
      <c r="J105" s="14">
        <f t="shared" si="8"/>
        <v>1.4112903225806495E-2</v>
      </c>
      <c r="K105" s="14">
        <f t="shared" si="8"/>
        <v>-1.7241379310344307E-3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5">
      <c r="A106" s="12">
        <v>44841</v>
      </c>
      <c r="B106" s="20">
        <v>28400</v>
      </c>
      <c r="C106" s="20">
        <v>34250</v>
      </c>
      <c r="D106" s="20">
        <v>27700</v>
      </c>
      <c r="E106" s="20">
        <v>49600</v>
      </c>
      <c r="F106" s="20">
        <v>58000</v>
      </c>
      <c r="G106" s="14">
        <f t="shared" si="8"/>
        <v>5.1851851851851816E-2</v>
      </c>
      <c r="H106" s="14">
        <f t="shared" si="8"/>
        <v>1.4619883040936088E-3</v>
      </c>
      <c r="I106" s="14">
        <f t="shared" si="8"/>
        <v>9.486166007905128E-2</v>
      </c>
      <c r="J106" s="14">
        <f t="shared" si="8"/>
        <v>-4.0160642570281624E-3</v>
      </c>
      <c r="K106" s="14">
        <f t="shared" si="8"/>
        <v>1.221640488656206E-2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5">
      <c r="A107" s="12">
        <v>44840</v>
      </c>
      <c r="B107" s="20">
        <v>27000</v>
      </c>
      <c r="C107" s="20">
        <v>34200</v>
      </c>
      <c r="D107" s="20">
        <v>25300</v>
      </c>
      <c r="E107" s="20">
        <v>49800</v>
      </c>
      <c r="F107" s="20">
        <v>57300</v>
      </c>
      <c r="G107" s="14">
        <f t="shared" si="8"/>
        <v>-9.9999999999999978E-2</v>
      </c>
      <c r="H107" s="14">
        <f t="shared" si="8"/>
        <v>-3.1161473087818692E-2</v>
      </c>
      <c r="I107" s="14">
        <f t="shared" si="8"/>
        <v>-9.3189964157706084E-2</v>
      </c>
      <c r="J107" s="14">
        <f t="shared" si="8"/>
        <v>0</v>
      </c>
      <c r="K107" s="14">
        <f t="shared" si="8"/>
        <v>-5.2083333333333703E-3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5">
      <c r="A108" s="12">
        <v>44839</v>
      </c>
      <c r="B108" s="20">
        <v>30000</v>
      </c>
      <c r="C108" s="20">
        <v>35300</v>
      </c>
      <c r="D108" s="20">
        <v>27900</v>
      </c>
      <c r="E108" s="20">
        <v>49800</v>
      </c>
      <c r="F108" s="20">
        <v>57600</v>
      </c>
      <c r="G108" s="14">
        <f t="shared" si="8"/>
        <v>1.0101010101010166E-2</v>
      </c>
      <c r="H108" s="14">
        <f t="shared" si="8"/>
        <v>2.0231213872832443E-2</v>
      </c>
      <c r="I108" s="14">
        <f t="shared" si="8"/>
        <v>-9.7087378640776656E-2</v>
      </c>
      <c r="J108" s="14">
        <f t="shared" si="8"/>
        <v>1.4256619144602745E-2</v>
      </c>
      <c r="K108" s="14">
        <f t="shared" si="8"/>
        <v>-5.1813471502590858E-3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5">
      <c r="A109" s="12">
        <v>44838</v>
      </c>
      <c r="B109" s="20">
        <v>29700</v>
      </c>
      <c r="C109" s="20">
        <v>34600</v>
      </c>
      <c r="D109" s="20">
        <v>30900</v>
      </c>
      <c r="E109" s="20">
        <v>49100</v>
      </c>
      <c r="F109" s="20">
        <v>57900</v>
      </c>
      <c r="G109" s="14">
        <f t="shared" si="8"/>
        <v>0.10000000000000009</v>
      </c>
      <c r="H109" s="14">
        <f t="shared" si="8"/>
        <v>4.5317220543806602E-2</v>
      </c>
      <c r="I109" s="14">
        <f t="shared" si="8"/>
        <v>-3.1347962382445194E-2</v>
      </c>
      <c r="J109" s="14">
        <f t="shared" si="8"/>
        <v>2.2916666666666696E-2</v>
      </c>
      <c r="K109" s="14">
        <f t="shared" si="8"/>
        <v>-1.5306122448979553E-2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5">
      <c r="A110" s="12">
        <v>44837</v>
      </c>
      <c r="B110" s="20">
        <v>27000</v>
      </c>
      <c r="C110" s="20">
        <v>33100</v>
      </c>
      <c r="D110" s="20">
        <v>31900</v>
      </c>
      <c r="E110" s="20">
        <v>48000</v>
      </c>
      <c r="F110" s="20">
        <v>58800</v>
      </c>
      <c r="G110" s="14">
        <f t="shared" si="8"/>
        <v>-1.4598540145985384E-2</v>
      </c>
      <c r="H110" s="14">
        <f t="shared" si="8"/>
        <v>3.4375000000000044E-2</v>
      </c>
      <c r="I110" s="14">
        <f t="shared" si="8"/>
        <v>3.9087947882736174E-2</v>
      </c>
      <c r="J110" s="14">
        <f t="shared" si="8"/>
        <v>1.0427528675704956E-3</v>
      </c>
      <c r="K110" s="14">
        <f t="shared" si="8"/>
        <v>3.7037037037036979E-2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5">
      <c r="A111" s="12">
        <v>44834</v>
      </c>
      <c r="B111" s="20">
        <v>27400</v>
      </c>
      <c r="C111" s="20">
        <v>32000</v>
      </c>
      <c r="D111" s="20">
        <v>30700</v>
      </c>
      <c r="E111" s="20">
        <v>47950</v>
      </c>
      <c r="F111" s="20">
        <v>56700</v>
      </c>
      <c r="G111" s="14">
        <f t="shared" si="8"/>
        <v>3.7878787878787845E-2</v>
      </c>
      <c r="H111" s="14">
        <f t="shared" si="8"/>
        <v>-1.2345679012345734E-2</v>
      </c>
      <c r="I111" s="14">
        <f t="shared" si="8"/>
        <v>3.716216216216206E-2</v>
      </c>
      <c r="J111" s="14">
        <f t="shared" si="8"/>
        <v>-5.1867219917012264E-3</v>
      </c>
      <c r="K111" s="14">
        <f t="shared" si="8"/>
        <v>6.9811320754717077E-2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5">
      <c r="A112" s="12">
        <v>44833</v>
      </c>
      <c r="B112" s="20">
        <v>26400</v>
      </c>
      <c r="C112" s="20">
        <v>32400</v>
      </c>
      <c r="D112" s="20">
        <v>29600</v>
      </c>
      <c r="E112" s="20">
        <v>48200</v>
      </c>
      <c r="F112" s="20">
        <v>53000</v>
      </c>
      <c r="G112" s="14">
        <f t="shared" si="8"/>
        <v>2.3255813953488413E-2</v>
      </c>
      <c r="H112" s="14">
        <f t="shared" si="8"/>
        <v>-1.2195121951219523E-2</v>
      </c>
      <c r="I112" s="14">
        <f t="shared" si="8"/>
        <v>3.4965034965035002E-2</v>
      </c>
      <c r="J112" s="14">
        <f t="shared" si="8"/>
        <v>-8.2304526748970819E-3</v>
      </c>
      <c r="K112" s="14">
        <f t="shared" si="8"/>
        <v>-5.1878354203935606E-2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5">
      <c r="A113" s="12">
        <v>44832</v>
      </c>
      <c r="B113" s="20">
        <v>25800</v>
      </c>
      <c r="C113" s="20">
        <v>32800</v>
      </c>
      <c r="D113" s="20">
        <v>28600</v>
      </c>
      <c r="E113" s="20">
        <v>48600</v>
      </c>
      <c r="F113" s="20">
        <v>55900</v>
      </c>
      <c r="G113" s="14">
        <f t="shared" si="8"/>
        <v>9.7872340425531945E-2</v>
      </c>
      <c r="H113" s="14">
        <f t="shared" si="8"/>
        <v>-1.9431988041853532E-2</v>
      </c>
      <c r="I113" s="14">
        <f t="shared" si="8"/>
        <v>0.10000000000000009</v>
      </c>
      <c r="J113" s="14">
        <f t="shared" si="8"/>
        <v>3.0959752321981782E-3</v>
      </c>
      <c r="K113" s="14">
        <f t="shared" si="8"/>
        <v>-6.0504201680672276E-2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5">
      <c r="A114" s="12">
        <v>44831</v>
      </c>
      <c r="B114" s="20">
        <v>23500</v>
      </c>
      <c r="C114" s="20">
        <v>33450</v>
      </c>
      <c r="D114" s="20">
        <v>26000</v>
      </c>
      <c r="E114" s="20">
        <v>48450</v>
      </c>
      <c r="F114" s="20">
        <v>59500</v>
      </c>
      <c r="G114" s="14">
        <f t="shared" si="8"/>
        <v>6.8181818181818121E-2</v>
      </c>
      <c r="H114" s="14">
        <f t="shared" si="8"/>
        <v>0</v>
      </c>
      <c r="I114" s="14">
        <f t="shared" si="8"/>
        <v>9.704641350210963E-2</v>
      </c>
      <c r="J114" s="14">
        <f t="shared" si="8"/>
        <v>-5.1334702258727383E-3</v>
      </c>
      <c r="K114" s="14">
        <f t="shared" si="8"/>
        <v>1.7094017094017033E-2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5">
      <c r="A115" s="12">
        <v>44830</v>
      </c>
      <c r="B115" s="20">
        <v>22000</v>
      </c>
      <c r="C115" s="20">
        <v>33450</v>
      </c>
      <c r="D115" s="20">
        <v>23700</v>
      </c>
      <c r="E115" s="20">
        <v>48700</v>
      </c>
      <c r="F115" s="20">
        <v>58500</v>
      </c>
      <c r="G115" s="14">
        <f t="shared" si="8"/>
        <v>-2.6548672566371723E-2</v>
      </c>
      <c r="H115" s="14">
        <f t="shared" si="8"/>
        <v>0</v>
      </c>
      <c r="I115" s="14">
        <f t="shared" si="8"/>
        <v>-2.8688524590163911E-2</v>
      </c>
      <c r="J115" s="14">
        <f t="shared" si="8"/>
        <v>-6.1224489795917991E-3</v>
      </c>
      <c r="K115" s="14">
        <f t="shared" si="8"/>
        <v>-3.14569536423841E-2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5">
      <c r="A116" s="12">
        <v>44827</v>
      </c>
      <c r="B116" s="20">
        <v>22600</v>
      </c>
      <c r="C116" s="20">
        <v>33450</v>
      </c>
      <c r="D116" s="20">
        <v>24400</v>
      </c>
      <c r="E116" s="20">
        <v>49000</v>
      </c>
      <c r="F116" s="20">
        <v>60400</v>
      </c>
      <c r="G116" s="14">
        <f t="shared" si="8"/>
        <v>-4.405286343612369E-3</v>
      </c>
      <c r="H116" s="14">
        <f t="shared" si="8"/>
        <v>-1.4925373134327957E-3</v>
      </c>
      <c r="I116" s="14">
        <f t="shared" si="8"/>
        <v>8.2644628099173278E-3</v>
      </c>
      <c r="J116" s="14">
        <f t="shared" si="8"/>
        <v>6.1601642710471527E-3</v>
      </c>
      <c r="K116" s="14">
        <f t="shared" si="8"/>
        <v>-3.3599999999999963E-2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5">
      <c r="A117" s="12">
        <v>44826</v>
      </c>
      <c r="B117" s="20">
        <v>22700</v>
      </c>
      <c r="C117" s="20">
        <v>33500</v>
      </c>
      <c r="D117" s="20">
        <v>24200</v>
      </c>
      <c r="E117" s="20">
        <v>48700</v>
      </c>
      <c r="F117" s="20">
        <v>62500</v>
      </c>
      <c r="G117" s="14">
        <f t="shared" si="8"/>
        <v>3.6529680365296802E-2</v>
      </c>
      <c r="H117" s="14">
        <f t="shared" si="8"/>
        <v>-8.8757396449704595E-3</v>
      </c>
      <c r="I117" s="14">
        <f t="shared" si="8"/>
        <v>6.1403508771929793E-2</v>
      </c>
      <c r="J117" s="14">
        <f t="shared" si="8"/>
        <v>4.1237113402061709E-3</v>
      </c>
      <c r="K117" s="14">
        <f t="shared" si="8"/>
        <v>3.2102728731941976E-3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5">
      <c r="A118" s="12">
        <v>44825</v>
      </c>
      <c r="B118" s="20">
        <v>21900</v>
      </c>
      <c r="C118" s="20">
        <v>33800</v>
      </c>
      <c r="D118" s="20">
        <v>22800</v>
      </c>
      <c r="E118" s="20">
        <v>48500</v>
      </c>
      <c r="F118" s="20">
        <v>62300</v>
      </c>
      <c r="G118" s="14">
        <f t="shared" si="8"/>
        <v>3.7914691943127909E-2</v>
      </c>
      <c r="H118" s="14">
        <f t="shared" si="8"/>
        <v>5.9523809523809312E-3</v>
      </c>
      <c r="I118" s="14">
        <f t="shared" si="8"/>
        <v>8.8495575221239076E-3</v>
      </c>
      <c r="J118" s="14">
        <f t="shared" si="8"/>
        <v>1.8907563025210017E-2</v>
      </c>
      <c r="K118" s="14">
        <f t="shared" si="8"/>
        <v>6.8610634648370583E-2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5">
      <c r="A119" s="12">
        <v>44824</v>
      </c>
      <c r="B119" s="20">
        <v>21100</v>
      </c>
      <c r="C119" s="20">
        <v>33600</v>
      </c>
      <c r="D119" s="20">
        <v>22600</v>
      </c>
      <c r="E119" s="20">
        <v>47600</v>
      </c>
      <c r="F119" s="20">
        <v>58300</v>
      </c>
      <c r="G119" s="14">
        <f t="shared" ref="G119:K169" si="9">B119/B120-1</f>
        <v>1.4423076923076872E-2</v>
      </c>
      <c r="H119" s="14">
        <f t="shared" si="9"/>
        <v>4.6728971962616717E-2</v>
      </c>
      <c r="I119" s="14">
        <f t="shared" si="9"/>
        <v>-4.405286343612369E-3</v>
      </c>
      <c r="J119" s="14">
        <f t="shared" si="9"/>
        <v>2.1052631578948322E-3</v>
      </c>
      <c r="K119" s="14">
        <f t="shared" si="9"/>
        <v>-6.8690095846645316E-2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5">
      <c r="A120" s="12">
        <v>44823</v>
      </c>
      <c r="B120" s="20">
        <v>20800</v>
      </c>
      <c r="C120" s="20">
        <v>32100</v>
      </c>
      <c r="D120" s="20">
        <v>22700</v>
      </c>
      <c r="E120" s="20">
        <v>47500</v>
      </c>
      <c r="F120" s="20">
        <v>62600</v>
      </c>
      <c r="G120" s="14">
        <f t="shared" si="9"/>
        <v>-2.3474178403755874E-2</v>
      </c>
      <c r="H120" s="14">
        <f t="shared" si="9"/>
        <v>-9.2592592592593004E-3</v>
      </c>
      <c r="I120" s="14">
        <f t="shared" si="9"/>
        <v>6.0747663551401931E-2</v>
      </c>
      <c r="J120" s="14">
        <f t="shared" si="9"/>
        <v>6.3559322033899246E-3</v>
      </c>
      <c r="K120" s="14">
        <f t="shared" si="9"/>
        <v>-6.1469265367316339E-2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5">
      <c r="A121" s="12">
        <v>44820</v>
      </c>
      <c r="B121" s="20">
        <v>21300</v>
      </c>
      <c r="C121" s="20">
        <v>32400</v>
      </c>
      <c r="D121" s="20">
        <v>21400</v>
      </c>
      <c r="E121" s="20">
        <v>47200</v>
      </c>
      <c r="F121" s="20">
        <v>66700</v>
      </c>
      <c r="G121" s="14">
        <f t="shared" si="9"/>
        <v>-2.2935779816513735E-2</v>
      </c>
      <c r="H121" s="14">
        <f t="shared" si="9"/>
        <v>0</v>
      </c>
      <c r="I121" s="14">
        <f t="shared" si="9"/>
        <v>2.3923444976076569E-2</v>
      </c>
      <c r="J121" s="14">
        <f t="shared" si="9"/>
        <v>8.5470085470085166E-3</v>
      </c>
      <c r="K121" s="14">
        <f t="shared" si="9"/>
        <v>-6.8435754189944187E-2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5">
      <c r="A122" s="12">
        <v>44819</v>
      </c>
      <c r="B122" s="20">
        <v>21800</v>
      </c>
      <c r="C122" s="20">
        <v>32400</v>
      </c>
      <c r="D122" s="20">
        <v>20900</v>
      </c>
      <c r="E122" s="20">
        <v>46800</v>
      </c>
      <c r="F122" s="20">
        <v>71600</v>
      </c>
      <c r="G122" s="14">
        <f t="shared" si="9"/>
        <v>3.8095238095238182E-2</v>
      </c>
      <c r="H122" s="14">
        <f t="shared" si="9"/>
        <v>0</v>
      </c>
      <c r="I122" s="14">
        <f t="shared" si="9"/>
        <v>-2.3364485981308358E-2</v>
      </c>
      <c r="J122" s="14">
        <f t="shared" si="9"/>
        <v>-4.2553191489361764E-3</v>
      </c>
      <c r="K122" s="14">
        <f t="shared" si="9"/>
        <v>-3.2432432432432434E-2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5">
      <c r="A123" s="12">
        <v>44818</v>
      </c>
      <c r="B123" s="20">
        <v>21000</v>
      </c>
      <c r="C123" s="20">
        <v>32400</v>
      </c>
      <c r="D123" s="20">
        <v>21400</v>
      </c>
      <c r="E123" s="20">
        <v>47000</v>
      </c>
      <c r="F123" s="20">
        <v>74000</v>
      </c>
      <c r="G123" s="14">
        <f t="shared" si="9"/>
        <v>-2.3255813953488413E-2</v>
      </c>
      <c r="H123" s="14">
        <f t="shared" si="9"/>
        <v>1.0920436817472678E-2</v>
      </c>
      <c r="I123" s="14">
        <f t="shared" si="9"/>
        <v>-9.2592592592593004E-3</v>
      </c>
      <c r="J123" s="14">
        <f t="shared" si="9"/>
        <v>-4.237288135593209E-3</v>
      </c>
      <c r="K123" s="14">
        <f t="shared" si="9"/>
        <v>-5.8524173027989845E-2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5">
      <c r="A124" s="12">
        <v>44817</v>
      </c>
      <c r="B124" s="20">
        <v>21500</v>
      </c>
      <c r="C124" s="20">
        <v>32050</v>
      </c>
      <c r="D124" s="20">
        <v>21600</v>
      </c>
      <c r="E124" s="20">
        <v>47200</v>
      </c>
      <c r="F124" s="20">
        <v>78600</v>
      </c>
      <c r="G124" s="14">
        <f t="shared" si="9"/>
        <v>-9.2165898617511122E-3</v>
      </c>
      <c r="H124" s="14">
        <f t="shared" si="9"/>
        <v>1.5624999999999112E-3</v>
      </c>
      <c r="I124" s="14">
        <f t="shared" si="9"/>
        <v>-9.1743119266054496E-3</v>
      </c>
      <c r="J124" s="14">
        <f t="shared" si="9"/>
        <v>-6.3157894736841635E-3</v>
      </c>
      <c r="K124" s="14">
        <f t="shared" si="9"/>
        <v>-1.749999999999996E-2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5">
      <c r="A125" s="12">
        <v>44816</v>
      </c>
      <c r="B125" s="20">
        <v>21700</v>
      </c>
      <c r="C125" s="20">
        <v>32000</v>
      </c>
      <c r="D125" s="20">
        <v>21800</v>
      </c>
      <c r="E125" s="20">
        <v>47500</v>
      </c>
      <c r="F125" s="20">
        <v>80000</v>
      </c>
      <c r="G125" s="14">
        <f t="shared" si="9"/>
        <v>-2.2522522522522515E-2</v>
      </c>
      <c r="H125" s="14">
        <f t="shared" si="9"/>
        <v>0</v>
      </c>
      <c r="I125" s="14">
        <f t="shared" si="9"/>
        <v>-1.3574660633484115E-2</v>
      </c>
      <c r="J125" s="14">
        <f t="shared" si="9"/>
        <v>8.4925690021231404E-3</v>
      </c>
      <c r="K125" s="14">
        <f t="shared" si="9"/>
        <v>2.5062656641603454E-3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5">
      <c r="A126" s="12">
        <v>44813</v>
      </c>
      <c r="B126" s="20">
        <v>22200</v>
      </c>
      <c r="C126" s="20">
        <v>32000</v>
      </c>
      <c r="D126" s="20">
        <v>22100</v>
      </c>
      <c r="E126" s="20">
        <v>47100</v>
      </c>
      <c r="F126" s="20">
        <v>79800</v>
      </c>
      <c r="G126" s="14">
        <f t="shared" si="9"/>
        <v>3.2558139534883734E-2</v>
      </c>
      <c r="H126" s="14">
        <f t="shared" si="9"/>
        <v>2.564102564102555E-2</v>
      </c>
      <c r="I126" s="14">
        <f t="shared" si="9"/>
        <v>1.8433179723502224E-2</v>
      </c>
      <c r="J126" s="14">
        <f t="shared" si="9"/>
        <v>1.5086206896551824E-2</v>
      </c>
      <c r="K126" s="14">
        <f t="shared" si="9"/>
        <v>5.1383399209486091E-2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5">
      <c r="A127" s="12">
        <v>44812</v>
      </c>
      <c r="B127" s="20">
        <v>21500</v>
      </c>
      <c r="C127" s="20">
        <v>31200</v>
      </c>
      <c r="D127" s="20">
        <v>21700</v>
      </c>
      <c r="E127" s="20">
        <v>46400</v>
      </c>
      <c r="F127" s="20">
        <v>75900</v>
      </c>
      <c r="G127" s="14">
        <f t="shared" si="9"/>
        <v>1.4150943396226356E-2</v>
      </c>
      <c r="H127" s="14">
        <f t="shared" si="9"/>
        <v>3.215434083601254E-3</v>
      </c>
      <c r="I127" s="14">
        <f t="shared" si="9"/>
        <v>4.6296296296295392E-3</v>
      </c>
      <c r="J127" s="14">
        <f t="shared" si="9"/>
        <v>1.8660812294182261E-2</v>
      </c>
      <c r="K127" s="14">
        <f t="shared" si="9"/>
        <v>-1.3157894736841591E-3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5">
      <c r="A128" s="12">
        <v>44811</v>
      </c>
      <c r="B128" s="20">
        <v>21200</v>
      </c>
      <c r="C128" s="20">
        <v>31100</v>
      </c>
      <c r="D128" s="20">
        <v>21600</v>
      </c>
      <c r="E128" s="20">
        <v>45550</v>
      </c>
      <c r="F128" s="20">
        <v>76000</v>
      </c>
      <c r="G128" s="14">
        <f t="shared" si="9"/>
        <v>2.9126213592232997E-2</v>
      </c>
      <c r="H128" s="14">
        <f t="shared" si="9"/>
        <v>0</v>
      </c>
      <c r="I128" s="14">
        <f t="shared" si="9"/>
        <v>4.8543689320388328E-2</v>
      </c>
      <c r="J128" s="14">
        <f t="shared" si="9"/>
        <v>-2.1905805038334725E-3</v>
      </c>
      <c r="K128" s="14">
        <f t="shared" si="9"/>
        <v>6.6225165562914245E-3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5">
      <c r="A129" s="12">
        <v>44810</v>
      </c>
      <c r="B129" s="20">
        <v>20600</v>
      </c>
      <c r="C129" s="20">
        <v>31100</v>
      </c>
      <c r="D129" s="20">
        <v>20600</v>
      </c>
      <c r="E129" s="20">
        <v>45650</v>
      </c>
      <c r="F129" s="20">
        <v>75500</v>
      </c>
      <c r="G129" s="14">
        <f t="shared" si="9"/>
        <v>-2.3696682464454999E-2</v>
      </c>
      <c r="H129" s="14">
        <f t="shared" si="9"/>
        <v>-1.1128775834658211E-2</v>
      </c>
      <c r="I129" s="14">
        <f t="shared" si="9"/>
        <v>-2.3696682464454999E-2</v>
      </c>
      <c r="J129" s="14">
        <f t="shared" si="9"/>
        <v>0</v>
      </c>
      <c r="K129" s="14">
        <f t="shared" si="9"/>
        <v>-1.0484927916120546E-2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5">
      <c r="A130" s="12">
        <v>44809</v>
      </c>
      <c r="B130" s="20">
        <v>21100</v>
      </c>
      <c r="C130" s="20">
        <v>31450</v>
      </c>
      <c r="D130" s="20">
        <v>21100</v>
      </c>
      <c r="E130" s="20">
        <v>45650</v>
      </c>
      <c r="F130" s="20">
        <v>76300</v>
      </c>
      <c r="G130" s="14">
        <f t="shared" si="9"/>
        <v>-2.314814814814814E-2</v>
      </c>
      <c r="H130" s="14">
        <f t="shared" si="9"/>
        <v>0</v>
      </c>
      <c r="I130" s="14">
        <f t="shared" si="9"/>
        <v>-4.7169811320755262E-3</v>
      </c>
      <c r="J130" s="14">
        <f t="shared" si="9"/>
        <v>1.0964912280702066E-3</v>
      </c>
      <c r="K130" s="14">
        <f t="shared" si="9"/>
        <v>-2.1794871794871828E-2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5">
      <c r="A131" s="12">
        <v>44804</v>
      </c>
      <c r="B131" s="20">
        <v>21600</v>
      </c>
      <c r="C131" s="20">
        <v>31450</v>
      </c>
      <c r="D131" s="20">
        <v>21200</v>
      </c>
      <c r="E131" s="20">
        <v>45600</v>
      </c>
      <c r="F131" s="20">
        <v>78000</v>
      </c>
      <c r="G131" s="14">
        <f t="shared" si="9"/>
        <v>9.6446700507614169E-2</v>
      </c>
      <c r="H131" s="14">
        <f t="shared" si="9"/>
        <v>9.6308186195825929E-3</v>
      </c>
      <c r="I131" s="14">
        <f t="shared" si="9"/>
        <v>3.9215686274509887E-2</v>
      </c>
      <c r="J131" s="14">
        <f t="shared" si="9"/>
        <v>1.4460511679644128E-2</v>
      </c>
      <c r="K131" s="14">
        <f t="shared" si="9"/>
        <v>-1.3906447534766109E-2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5">
      <c r="A132" s="12">
        <v>44803</v>
      </c>
      <c r="B132" s="20">
        <v>19700</v>
      </c>
      <c r="C132" s="20">
        <v>31150</v>
      </c>
      <c r="D132" s="20">
        <v>20400</v>
      </c>
      <c r="E132" s="20">
        <v>44950</v>
      </c>
      <c r="F132" s="20">
        <v>79100</v>
      </c>
      <c r="G132" s="14">
        <f t="shared" si="9"/>
        <v>-1.9900497512437831E-2</v>
      </c>
      <c r="H132" s="14">
        <f t="shared" si="9"/>
        <v>-1.4240506329113889E-2</v>
      </c>
      <c r="I132" s="14">
        <f t="shared" si="9"/>
        <v>-1.9230769230769273E-2</v>
      </c>
      <c r="J132" s="14">
        <f t="shared" si="9"/>
        <v>1.2387387387387427E-2</v>
      </c>
      <c r="K132" s="14">
        <f t="shared" si="9"/>
        <v>6.8918918918918992E-2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5">
      <c r="A133" s="12">
        <v>44802</v>
      </c>
      <c r="B133" s="20">
        <v>20100</v>
      </c>
      <c r="C133" s="20">
        <v>31600</v>
      </c>
      <c r="D133" s="20">
        <v>20800</v>
      </c>
      <c r="E133" s="20">
        <v>44400</v>
      </c>
      <c r="F133" s="20">
        <v>74000</v>
      </c>
      <c r="G133" s="14">
        <f t="shared" si="9"/>
        <v>1.0050251256281451E-2</v>
      </c>
      <c r="H133" s="14">
        <f t="shared" si="9"/>
        <v>1.9354838709677358E-2</v>
      </c>
      <c r="I133" s="14">
        <f t="shared" si="9"/>
        <v>4.8309178743961567E-3</v>
      </c>
      <c r="J133" s="14">
        <f t="shared" si="9"/>
        <v>-4.484304932735439E-3</v>
      </c>
      <c r="K133" s="14">
        <f t="shared" si="9"/>
        <v>2.7777777777777679E-2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5">
      <c r="A134" s="12">
        <v>44799</v>
      </c>
      <c r="B134" s="20">
        <v>19900</v>
      </c>
      <c r="C134" s="20">
        <v>31000</v>
      </c>
      <c r="D134" s="20">
        <v>20700</v>
      </c>
      <c r="E134" s="20">
        <v>44600</v>
      </c>
      <c r="F134" s="20">
        <v>72000</v>
      </c>
      <c r="G134" s="14">
        <f t="shared" si="9"/>
        <v>2.5773195876288568E-2</v>
      </c>
      <c r="H134" s="14">
        <f t="shared" si="9"/>
        <v>2.3102310231023049E-2</v>
      </c>
      <c r="I134" s="14">
        <f t="shared" si="9"/>
        <v>3.499999999999992E-2</v>
      </c>
      <c r="J134" s="14">
        <f t="shared" si="9"/>
        <v>4.5045045045044585E-3</v>
      </c>
      <c r="K134" s="14">
        <f t="shared" si="9"/>
        <v>1.3908205841446364E-3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5">
      <c r="A135" s="12">
        <v>44798</v>
      </c>
      <c r="B135" s="20">
        <v>19400</v>
      </c>
      <c r="C135" s="20">
        <v>30300</v>
      </c>
      <c r="D135" s="20">
        <v>20000</v>
      </c>
      <c r="E135" s="20">
        <v>44400</v>
      </c>
      <c r="F135" s="20">
        <v>71900</v>
      </c>
      <c r="G135" s="14">
        <f t="shared" si="9"/>
        <v>0</v>
      </c>
      <c r="H135" s="14">
        <f t="shared" si="9"/>
        <v>-1.9417475728155331E-2</v>
      </c>
      <c r="I135" s="14">
        <f t="shared" si="9"/>
        <v>-1.4778325123152691E-2</v>
      </c>
      <c r="J135" s="14">
        <f t="shared" si="9"/>
        <v>9.0909090909090384E-3</v>
      </c>
      <c r="K135" s="14">
        <f t="shared" si="9"/>
        <v>1.9858156028368823E-2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5">
      <c r="A136" s="12">
        <v>44797</v>
      </c>
      <c r="B136" s="20">
        <v>19400</v>
      </c>
      <c r="C136" s="20">
        <v>30900</v>
      </c>
      <c r="D136" s="20">
        <v>20300</v>
      </c>
      <c r="E136" s="20">
        <v>44000</v>
      </c>
      <c r="F136" s="20">
        <v>70500</v>
      </c>
      <c r="G136" s="14">
        <f t="shared" si="9"/>
        <v>-8.4905660377358472E-2</v>
      </c>
      <c r="H136" s="14">
        <f t="shared" si="9"/>
        <v>-3.4375000000000044E-2</v>
      </c>
      <c r="I136" s="14">
        <f t="shared" si="9"/>
        <v>-5.1401869158878455E-2</v>
      </c>
      <c r="J136" s="14">
        <f t="shared" si="9"/>
        <v>-1.7857142857142905E-2</v>
      </c>
      <c r="K136" s="14">
        <f t="shared" si="9"/>
        <v>-2.7586206896551779E-2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5">
      <c r="A137" s="12">
        <v>44796</v>
      </c>
      <c r="B137" s="20">
        <v>21200</v>
      </c>
      <c r="C137" s="20">
        <v>32000</v>
      </c>
      <c r="D137" s="20">
        <v>21400</v>
      </c>
      <c r="E137" s="20">
        <v>44800</v>
      </c>
      <c r="F137" s="20">
        <v>72500</v>
      </c>
      <c r="G137" s="14">
        <f t="shared" si="9"/>
        <v>1.4354066985645897E-2</v>
      </c>
      <c r="H137" s="14">
        <f t="shared" si="9"/>
        <v>0</v>
      </c>
      <c r="I137" s="14">
        <f t="shared" si="9"/>
        <v>1.904761904761898E-2</v>
      </c>
      <c r="J137" s="14">
        <f t="shared" si="9"/>
        <v>6.741573033707926E-3</v>
      </c>
      <c r="K137" s="14">
        <f t="shared" si="9"/>
        <v>1.9690576652601877E-2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5">
      <c r="A138" s="12">
        <v>44795</v>
      </c>
      <c r="B138" s="20">
        <v>20900</v>
      </c>
      <c r="C138" s="20">
        <v>32000</v>
      </c>
      <c r="D138" s="20">
        <v>21000</v>
      </c>
      <c r="E138" s="20">
        <v>44500</v>
      </c>
      <c r="F138" s="20">
        <v>71100</v>
      </c>
      <c r="G138" s="14">
        <f t="shared" si="9"/>
        <v>-9.9137931034482762E-2</v>
      </c>
      <c r="H138" s="14">
        <f t="shared" si="9"/>
        <v>-4.1916167664670656E-2</v>
      </c>
      <c r="I138" s="14">
        <f t="shared" si="9"/>
        <v>-6.6666666666666652E-2</v>
      </c>
      <c r="J138" s="14">
        <f t="shared" si="9"/>
        <v>1.5981735159817267E-2</v>
      </c>
      <c r="K138" s="14">
        <f t="shared" si="9"/>
        <v>-1.2499999999999956E-2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5">
      <c r="A139" s="12">
        <v>44792</v>
      </c>
      <c r="B139" s="20">
        <v>23200</v>
      </c>
      <c r="C139" s="20">
        <v>33400</v>
      </c>
      <c r="D139" s="20">
        <v>22500</v>
      </c>
      <c r="E139" s="20">
        <v>43800</v>
      </c>
      <c r="F139" s="20">
        <v>72000</v>
      </c>
      <c r="G139" s="14">
        <f t="shared" si="9"/>
        <v>-4.2918454935622075E-3</v>
      </c>
      <c r="H139" s="14">
        <f t="shared" si="9"/>
        <v>7.541478129713397E-3</v>
      </c>
      <c r="I139" s="14">
        <f t="shared" si="9"/>
        <v>-3.0172413793103425E-2</v>
      </c>
      <c r="J139" s="14">
        <f t="shared" si="9"/>
        <v>1.1547344110854452E-2</v>
      </c>
      <c r="K139" s="14">
        <f t="shared" si="9"/>
        <v>-2.7027027027026973E-2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5">
      <c r="A140" s="12">
        <v>44791</v>
      </c>
      <c r="B140" s="20">
        <v>23300</v>
      </c>
      <c r="C140" s="20">
        <v>33150</v>
      </c>
      <c r="D140" s="20">
        <v>23200</v>
      </c>
      <c r="E140" s="20">
        <v>43300</v>
      </c>
      <c r="F140" s="20">
        <v>74000</v>
      </c>
      <c r="G140" s="14">
        <f t="shared" si="9"/>
        <v>-4.2735042735042583E-3</v>
      </c>
      <c r="H140" s="14">
        <f t="shared" si="9"/>
        <v>-1.0447761194029903E-2</v>
      </c>
      <c r="I140" s="14">
        <f t="shared" si="9"/>
        <v>2.2026431718061623E-2</v>
      </c>
      <c r="J140" s="14">
        <f t="shared" si="9"/>
        <v>5.807200929152101E-3</v>
      </c>
      <c r="K140" s="14">
        <f t="shared" si="9"/>
        <v>3.6414565826330625E-2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35">
      <c r="A141" s="12">
        <v>44790</v>
      </c>
      <c r="B141" s="20">
        <v>23400</v>
      </c>
      <c r="C141" s="20">
        <v>33500</v>
      </c>
      <c r="D141" s="20">
        <v>22700</v>
      </c>
      <c r="E141" s="20">
        <v>43050</v>
      </c>
      <c r="F141" s="20">
        <v>71400</v>
      </c>
      <c r="G141" s="14">
        <f t="shared" si="9"/>
        <v>-8.4745762711864181E-3</v>
      </c>
      <c r="H141" s="14">
        <f t="shared" si="9"/>
        <v>-1.9033674963396807E-2</v>
      </c>
      <c r="I141" s="14">
        <f t="shared" si="9"/>
        <v>-2.9914529914529919E-2</v>
      </c>
      <c r="J141" s="14">
        <f t="shared" si="9"/>
        <v>-2.317497103128674E-3</v>
      </c>
      <c r="K141" s="14">
        <f t="shared" si="9"/>
        <v>-8.3333333333333037E-3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35">
      <c r="A142" s="12">
        <v>44789</v>
      </c>
      <c r="B142" s="20">
        <v>23600</v>
      </c>
      <c r="C142" s="20">
        <v>34150</v>
      </c>
      <c r="D142" s="20">
        <v>23400</v>
      </c>
      <c r="E142" s="20">
        <v>43150</v>
      </c>
      <c r="F142" s="20">
        <v>72000</v>
      </c>
      <c r="G142" s="14">
        <f t="shared" si="9"/>
        <v>0</v>
      </c>
      <c r="H142" s="14">
        <f t="shared" si="9"/>
        <v>-1.0144927536231862E-2</v>
      </c>
      <c r="I142" s="14">
        <f t="shared" si="9"/>
        <v>-3.703703703703709E-2</v>
      </c>
      <c r="J142" s="14">
        <f t="shared" si="9"/>
        <v>1.5294117647058902E-2</v>
      </c>
      <c r="K142" s="14">
        <f t="shared" si="9"/>
        <v>-1.6393442622950838E-2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5">
      <c r="A143" s="12">
        <v>44788</v>
      </c>
      <c r="B143" s="20">
        <v>23600</v>
      </c>
      <c r="C143" s="20">
        <v>34500</v>
      </c>
      <c r="D143" s="20">
        <v>24300</v>
      </c>
      <c r="E143" s="20">
        <v>42500</v>
      </c>
      <c r="F143" s="20">
        <v>73200</v>
      </c>
      <c r="G143" s="14">
        <f t="shared" si="9"/>
        <v>2.1645021645021689E-2</v>
      </c>
      <c r="H143" s="14">
        <f t="shared" si="9"/>
        <v>0</v>
      </c>
      <c r="I143" s="14">
        <f t="shared" si="9"/>
        <v>0</v>
      </c>
      <c r="J143" s="14">
        <f t="shared" si="9"/>
        <v>1.7964071856287456E-2</v>
      </c>
      <c r="K143" s="14">
        <f t="shared" si="9"/>
        <v>2.2346368715083775E-2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5">
      <c r="A144" s="12">
        <v>44785</v>
      </c>
      <c r="B144" s="20">
        <v>23100</v>
      </c>
      <c r="C144" s="20">
        <v>34500</v>
      </c>
      <c r="D144" s="20">
        <v>24300</v>
      </c>
      <c r="E144" s="20">
        <v>41750</v>
      </c>
      <c r="F144" s="20">
        <v>71600</v>
      </c>
      <c r="G144" s="14">
        <f t="shared" si="9"/>
        <v>-2.1186440677966156E-2</v>
      </c>
      <c r="H144" s="14">
        <f t="shared" si="9"/>
        <v>-1.4285714285714235E-2</v>
      </c>
      <c r="I144" s="14">
        <f t="shared" si="9"/>
        <v>-4.705882352941182E-2</v>
      </c>
      <c r="J144" s="14">
        <f t="shared" si="9"/>
        <v>-1.1961722488038617E-3</v>
      </c>
      <c r="K144" s="14">
        <f t="shared" si="9"/>
        <v>-2.5850340136054473E-2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5">
      <c r="A145" s="12">
        <v>44784</v>
      </c>
      <c r="B145" s="20">
        <v>23600</v>
      </c>
      <c r="C145" s="20">
        <v>35000</v>
      </c>
      <c r="D145" s="20">
        <v>25500</v>
      </c>
      <c r="E145" s="20">
        <v>41800</v>
      </c>
      <c r="F145" s="20">
        <v>73500</v>
      </c>
      <c r="G145" s="14">
        <f t="shared" si="9"/>
        <v>-8.4033613445377853E-3</v>
      </c>
      <c r="H145" s="14">
        <f t="shared" si="9"/>
        <v>-9.9009900990099098E-3</v>
      </c>
      <c r="I145" s="14">
        <f t="shared" si="9"/>
        <v>3.937007874015741E-3</v>
      </c>
      <c r="J145" s="14">
        <f t="shared" si="9"/>
        <v>0</v>
      </c>
      <c r="K145" s="14">
        <f t="shared" si="9"/>
        <v>-1.0767160161507361E-2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35">
      <c r="A146" s="12">
        <v>44783</v>
      </c>
      <c r="B146" s="20">
        <v>23800</v>
      </c>
      <c r="C146" s="20">
        <v>35350</v>
      </c>
      <c r="D146" s="20">
        <v>25400</v>
      </c>
      <c r="E146" s="20">
        <v>41800</v>
      </c>
      <c r="F146" s="20">
        <v>74300</v>
      </c>
      <c r="G146" s="14">
        <f t="shared" si="9"/>
        <v>-8.3333333333333037E-3</v>
      </c>
      <c r="H146" s="14">
        <f t="shared" si="9"/>
        <v>-4.2253521126760507E-3</v>
      </c>
      <c r="I146" s="14">
        <f t="shared" si="9"/>
        <v>3.9525691699604515E-3</v>
      </c>
      <c r="J146" s="14">
        <f t="shared" si="9"/>
        <v>-8.3036773428232236E-3</v>
      </c>
      <c r="K146" s="14">
        <f t="shared" si="9"/>
        <v>-1.3440860215053752E-3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5">
      <c r="A147" s="12">
        <v>44782</v>
      </c>
      <c r="B147" s="20">
        <v>24000</v>
      </c>
      <c r="C147" s="20">
        <v>35500</v>
      </c>
      <c r="D147" s="20">
        <v>25300</v>
      </c>
      <c r="E147" s="20">
        <v>42150</v>
      </c>
      <c r="F147" s="20">
        <v>74400</v>
      </c>
      <c r="G147" s="14">
        <f t="shared" si="9"/>
        <v>0</v>
      </c>
      <c r="H147" s="14">
        <f t="shared" si="9"/>
        <v>7.0921985815601829E-3</v>
      </c>
      <c r="I147" s="14">
        <f t="shared" si="9"/>
        <v>1.2000000000000011E-2</v>
      </c>
      <c r="J147" s="14">
        <f t="shared" si="9"/>
        <v>1.200480192076836E-2</v>
      </c>
      <c r="K147" s="14">
        <f t="shared" si="9"/>
        <v>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5">
      <c r="A148" s="12">
        <v>44781</v>
      </c>
      <c r="B148" s="20">
        <v>24000</v>
      </c>
      <c r="C148" s="20">
        <v>35250</v>
      </c>
      <c r="D148" s="20">
        <v>25000</v>
      </c>
      <c r="E148" s="20">
        <v>41650</v>
      </c>
      <c r="F148" s="20">
        <v>74400</v>
      </c>
      <c r="G148" s="14">
        <f t="shared" si="9"/>
        <v>-1.2345679012345734E-2</v>
      </c>
      <c r="H148" s="14">
        <f t="shared" si="9"/>
        <v>1.4204545454545858E-3</v>
      </c>
      <c r="I148" s="14">
        <f t="shared" si="9"/>
        <v>2.8806584362139898E-2</v>
      </c>
      <c r="J148" s="14">
        <f t="shared" si="9"/>
        <v>-1.1990407673860837E-3</v>
      </c>
      <c r="K148" s="14">
        <f t="shared" si="9"/>
        <v>2.6206896551724146E-2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5">
      <c r="A149" s="12">
        <v>44778</v>
      </c>
      <c r="B149" s="20">
        <v>24300</v>
      </c>
      <c r="C149" s="20">
        <v>35200</v>
      </c>
      <c r="D149" s="20">
        <v>24300</v>
      </c>
      <c r="E149" s="20">
        <v>41700</v>
      </c>
      <c r="F149" s="20">
        <v>72500</v>
      </c>
      <c r="G149" s="14">
        <f t="shared" si="9"/>
        <v>3.8461538461538547E-2</v>
      </c>
      <c r="H149" s="14">
        <f t="shared" si="9"/>
        <v>0</v>
      </c>
      <c r="I149" s="14">
        <f t="shared" si="9"/>
        <v>-1.619433198380571E-2</v>
      </c>
      <c r="J149" s="14">
        <f t="shared" si="9"/>
        <v>-4.7732696897374582E-3</v>
      </c>
      <c r="K149" s="14">
        <f t="shared" si="9"/>
        <v>-1.2261580381471404E-2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5">
      <c r="A150" s="12">
        <v>44777</v>
      </c>
      <c r="B150" s="20">
        <v>23400</v>
      </c>
      <c r="C150" s="20">
        <v>35200</v>
      </c>
      <c r="D150" s="20">
        <v>24700</v>
      </c>
      <c r="E150" s="20">
        <v>41900</v>
      </c>
      <c r="F150" s="20">
        <v>73400</v>
      </c>
      <c r="G150" s="14">
        <f t="shared" si="9"/>
        <v>-8.4745762711864181E-3</v>
      </c>
      <c r="H150" s="14">
        <f t="shared" si="9"/>
        <v>-3.5616438356164348E-2</v>
      </c>
      <c r="I150" s="14">
        <f t="shared" si="9"/>
        <v>1.2295081967213184E-2</v>
      </c>
      <c r="J150" s="14">
        <f t="shared" si="9"/>
        <v>-5.9311981020165883E-3</v>
      </c>
      <c r="K150" s="14">
        <f t="shared" si="9"/>
        <v>-1.0781671159029615E-2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5">
      <c r="A151" s="12">
        <v>44776</v>
      </c>
      <c r="B151" s="20">
        <v>23600</v>
      </c>
      <c r="C151" s="20">
        <v>36500</v>
      </c>
      <c r="D151" s="20">
        <v>24400</v>
      </c>
      <c r="E151" s="20">
        <v>42150</v>
      </c>
      <c r="F151" s="20">
        <v>74200</v>
      </c>
      <c r="G151" s="14">
        <f t="shared" si="9"/>
        <v>-4.2194092827003704E-3</v>
      </c>
      <c r="H151" s="14">
        <f t="shared" si="9"/>
        <v>-4.0927694406548421E-3</v>
      </c>
      <c r="I151" s="14">
        <f t="shared" si="9"/>
        <v>4.115226337448652E-3</v>
      </c>
      <c r="J151" s="14">
        <f t="shared" si="9"/>
        <v>-7.0671378091873294E-3</v>
      </c>
      <c r="K151" s="14">
        <f t="shared" si="9"/>
        <v>1.6438356164383494E-2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5">
      <c r="A152" s="12">
        <v>44775</v>
      </c>
      <c r="B152" s="20">
        <v>23700</v>
      </c>
      <c r="C152" s="20">
        <v>36650</v>
      </c>
      <c r="D152" s="20">
        <v>24300</v>
      </c>
      <c r="E152" s="20">
        <v>42450</v>
      </c>
      <c r="F152" s="20">
        <v>73000</v>
      </c>
      <c r="G152" s="14">
        <f t="shared" si="9"/>
        <v>3.0434782608695699E-2</v>
      </c>
      <c r="H152" s="14">
        <f t="shared" si="9"/>
        <v>3.6775106082036713E-2</v>
      </c>
      <c r="I152" s="14">
        <f t="shared" si="9"/>
        <v>8.4821428571428603E-2</v>
      </c>
      <c r="J152" s="14">
        <f t="shared" si="9"/>
        <v>7.1174377224199059E-3</v>
      </c>
      <c r="K152" s="14">
        <f t="shared" si="9"/>
        <v>1.6713091922005541E-2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5">
      <c r="A153" s="12">
        <v>44774</v>
      </c>
      <c r="B153" s="20">
        <v>23000</v>
      </c>
      <c r="C153" s="20">
        <v>35350</v>
      </c>
      <c r="D153" s="20">
        <v>22400</v>
      </c>
      <c r="E153" s="20">
        <v>42150</v>
      </c>
      <c r="F153" s="20">
        <v>71800</v>
      </c>
      <c r="G153" s="14">
        <f t="shared" si="9"/>
        <v>8.7719298245614308E-3</v>
      </c>
      <c r="H153" s="14">
        <f t="shared" si="9"/>
        <v>-4.2253521126760507E-3</v>
      </c>
      <c r="I153" s="14">
        <f t="shared" si="9"/>
        <v>0</v>
      </c>
      <c r="J153" s="14">
        <f t="shared" si="9"/>
        <v>2.0581113801452888E-2</v>
      </c>
      <c r="K153" s="14">
        <f t="shared" si="9"/>
        <v>-4.1608876560332853E-3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5">
      <c r="A154" s="12">
        <v>44771</v>
      </c>
      <c r="B154" s="20">
        <v>22800</v>
      </c>
      <c r="C154" s="20">
        <v>35500</v>
      </c>
      <c r="D154" s="20">
        <v>22400</v>
      </c>
      <c r="E154" s="20">
        <v>41300</v>
      </c>
      <c r="F154" s="20">
        <v>72100</v>
      </c>
      <c r="G154" s="14">
        <f t="shared" si="9"/>
        <v>1.3333333333333419E-2</v>
      </c>
      <c r="H154" s="14">
        <f t="shared" si="9"/>
        <v>-2.8089887640448952E-3</v>
      </c>
      <c r="I154" s="14">
        <f t="shared" si="9"/>
        <v>9.009009009008917E-3</v>
      </c>
      <c r="J154" s="14">
        <f t="shared" si="9"/>
        <v>2.7363184079602032E-2</v>
      </c>
      <c r="K154" s="14">
        <f t="shared" si="9"/>
        <v>-6.8870523415978102E-3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5">
      <c r="A155" s="12">
        <v>44770</v>
      </c>
      <c r="B155" s="20">
        <v>22500</v>
      </c>
      <c r="C155" s="20">
        <v>35600</v>
      </c>
      <c r="D155" s="20">
        <v>22200</v>
      </c>
      <c r="E155" s="20">
        <v>40200</v>
      </c>
      <c r="F155" s="20">
        <v>72600</v>
      </c>
      <c r="G155" s="14">
        <f t="shared" si="9"/>
        <v>-8.8105726872246271E-3</v>
      </c>
      <c r="H155" s="14">
        <f t="shared" si="9"/>
        <v>1.4245014245014342E-2</v>
      </c>
      <c r="I155" s="14">
        <f t="shared" si="9"/>
        <v>9.0909090909090384E-3</v>
      </c>
      <c r="J155" s="14">
        <f t="shared" si="9"/>
        <v>2.4937655860348684E-3</v>
      </c>
      <c r="K155" s="14">
        <f t="shared" si="9"/>
        <v>5.2173913043478182E-2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5">
      <c r="A156" s="12">
        <v>44769</v>
      </c>
      <c r="B156" s="20">
        <v>22700</v>
      </c>
      <c r="C156" s="20">
        <v>35100</v>
      </c>
      <c r="D156" s="20">
        <v>22000</v>
      </c>
      <c r="E156" s="20">
        <v>40100</v>
      </c>
      <c r="F156" s="20">
        <v>69000</v>
      </c>
      <c r="G156" s="14">
        <f t="shared" si="9"/>
        <v>2.2522522522522515E-2</v>
      </c>
      <c r="H156" s="14">
        <f t="shared" si="9"/>
        <v>1.591895803183796E-2</v>
      </c>
      <c r="I156" s="14">
        <f t="shared" si="9"/>
        <v>2.8037383177569986E-2</v>
      </c>
      <c r="J156" s="14">
        <f t="shared" si="9"/>
        <v>-7.4257425742574323E-3</v>
      </c>
      <c r="K156" s="14">
        <f t="shared" si="9"/>
        <v>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5">
      <c r="A157" s="12">
        <v>44768</v>
      </c>
      <c r="B157" s="20">
        <v>22200</v>
      </c>
      <c r="C157" s="20">
        <v>34550</v>
      </c>
      <c r="D157" s="20">
        <v>21400</v>
      </c>
      <c r="E157" s="20">
        <v>40400</v>
      </c>
      <c r="F157" s="20">
        <v>69000</v>
      </c>
      <c r="G157" s="14">
        <f t="shared" si="9"/>
        <v>-2.2026431718061623E-2</v>
      </c>
      <c r="H157" s="14">
        <f t="shared" si="9"/>
        <v>4.3604651162789665E-3</v>
      </c>
      <c r="I157" s="14">
        <f t="shared" si="9"/>
        <v>-4.6511627906976605E-3</v>
      </c>
      <c r="J157" s="14">
        <f t="shared" si="9"/>
        <v>4.9751243781095411E-3</v>
      </c>
      <c r="K157" s="14">
        <f t="shared" si="9"/>
        <v>1.024890190336758E-2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5">
      <c r="A158" s="12">
        <v>44767</v>
      </c>
      <c r="B158" s="20">
        <v>22700</v>
      </c>
      <c r="C158" s="20">
        <v>34400</v>
      </c>
      <c r="D158" s="20">
        <v>21500</v>
      </c>
      <c r="E158" s="20">
        <v>40200</v>
      </c>
      <c r="F158" s="20">
        <v>68300</v>
      </c>
      <c r="G158" s="14">
        <f t="shared" si="9"/>
        <v>-2.9914529914529919E-2</v>
      </c>
      <c r="H158" s="14">
        <f t="shared" si="9"/>
        <v>-4.9723756906077332E-2</v>
      </c>
      <c r="I158" s="14">
        <f t="shared" si="9"/>
        <v>-3.5874439461883401E-2</v>
      </c>
      <c r="J158" s="14">
        <f t="shared" si="9"/>
        <v>-4.9504950495049549E-3</v>
      </c>
      <c r="K158" s="14">
        <f t="shared" si="9"/>
        <v>-7.2674418604651292E-3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5">
      <c r="A159" s="12">
        <v>44764</v>
      </c>
      <c r="B159" s="20">
        <v>23400</v>
      </c>
      <c r="C159" s="20">
        <v>36200</v>
      </c>
      <c r="D159" s="20">
        <v>22300</v>
      </c>
      <c r="E159" s="20">
        <v>40400</v>
      </c>
      <c r="F159" s="20">
        <v>68800</v>
      </c>
      <c r="G159" s="14">
        <f t="shared" si="9"/>
        <v>-1.6806722689075682E-2</v>
      </c>
      <c r="H159" s="14">
        <f t="shared" si="9"/>
        <v>4.1608876560332853E-3</v>
      </c>
      <c r="I159" s="14">
        <f t="shared" si="9"/>
        <v>-2.6200873362445365E-2</v>
      </c>
      <c r="J159" s="14">
        <f t="shared" si="9"/>
        <v>7.4812967581048273E-3</v>
      </c>
      <c r="K159" s="14">
        <f t="shared" si="9"/>
        <v>-7.2150072150072297E-3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5">
      <c r="A160" s="12">
        <v>44763</v>
      </c>
      <c r="B160" s="20">
        <v>23800</v>
      </c>
      <c r="C160" s="20">
        <v>36050</v>
      </c>
      <c r="D160" s="20">
        <v>22900</v>
      </c>
      <c r="E160" s="20">
        <v>40100</v>
      </c>
      <c r="F160" s="20">
        <v>69300</v>
      </c>
      <c r="G160" s="14">
        <f t="shared" si="9"/>
        <v>-4.1841004184099972E-3</v>
      </c>
      <c r="H160" s="14">
        <f t="shared" si="9"/>
        <v>-9.6153846153845812E-3</v>
      </c>
      <c r="I160" s="14">
        <f t="shared" si="9"/>
        <v>-1.2931034482758674E-2</v>
      </c>
      <c r="J160" s="14">
        <f t="shared" si="9"/>
        <v>3.084832904884327E-2</v>
      </c>
      <c r="K160" s="14">
        <f t="shared" si="9"/>
        <v>-1.1412268188302432E-2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5">
      <c r="A161" s="12">
        <v>44762</v>
      </c>
      <c r="B161" s="20">
        <v>23900</v>
      </c>
      <c r="C161" s="20">
        <v>36400</v>
      </c>
      <c r="D161" s="20">
        <v>23200</v>
      </c>
      <c r="E161" s="20">
        <v>38900</v>
      </c>
      <c r="F161" s="20">
        <v>70100</v>
      </c>
      <c r="G161" s="14">
        <f t="shared" si="9"/>
        <v>-1.2396694214875992E-2</v>
      </c>
      <c r="H161" s="14">
        <f t="shared" si="9"/>
        <v>-1.6216216216216162E-2</v>
      </c>
      <c r="I161" s="14">
        <f t="shared" si="9"/>
        <v>-8.5470085470085166E-3</v>
      </c>
      <c r="J161" s="14">
        <f t="shared" si="9"/>
        <v>-2.564102564102555E-3</v>
      </c>
      <c r="K161" s="14">
        <f t="shared" si="9"/>
        <v>-1.8207282913165312E-2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5">
      <c r="A162" s="12">
        <v>44761</v>
      </c>
      <c r="B162" s="20">
        <v>24200</v>
      </c>
      <c r="C162" s="20">
        <v>37000</v>
      </c>
      <c r="D162" s="20">
        <v>23400</v>
      </c>
      <c r="E162" s="20">
        <v>39000</v>
      </c>
      <c r="F162" s="20">
        <v>71400</v>
      </c>
      <c r="G162" s="14">
        <f t="shared" si="9"/>
        <v>-1.6260162601625994E-2</v>
      </c>
      <c r="H162" s="14">
        <f t="shared" si="9"/>
        <v>-9.3708165997322679E-3</v>
      </c>
      <c r="I162" s="14">
        <f t="shared" si="9"/>
        <v>2.1834061135371119E-2</v>
      </c>
      <c r="J162" s="14">
        <f t="shared" si="9"/>
        <v>2.5706940874035134E-3</v>
      </c>
      <c r="K162" s="14">
        <f t="shared" si="9"/>
        <v>-1.1080332409972304E-2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5">
      <c r="A163" s="12">
        <v>44760</v>
      </c>
      <c r="B163" s="20">
        <v>24600</v>
      </c>
      <c r="C163" s="20">
        <v>37350</v>
      </c>
      <c r="D163" s="20">
        <v>22900</v>
      </c>
      <c r="E163" s="20">
        <v>38900</v>
      </c>
      <c r="F163" s="20">
        <v>72200</v>
      </c>
      <c r="G163" s="14">
        <f t="shared" si="9"/>
        <v>3.7974683544303778E-2</v>
      </c>
      <c r="H163" s="14">
        <f t="shared" si="9"/>
        <v>-4.0000000000000036E-3</v>
      </c>
      <c r="I163" s="14">
        <f t="shared" si="9"/>
        <v>1.777777777777767E-2</v>
      </c>
      <c r="J163" s="14">
        <f t="shared" si="9"/>
        <v>0</v>
      </c>
      <c r="K163" s="14">
        <f t="shared" si="9"/>
        <v>1.833568406205921E-2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5">
      <c r="A164" s="12">
        <v>44757</v>
      </c>
      <c r="B164" s="20">
        <v>23700</v>
      </c>
      <c r="C164" s="20">
        <v>37500</v>
      </c>
      <c r="D164" s="20">
        <v>22500</v>
      </c>
      <c r="E164" s="20">
        <v>38900</v>
      </c>
      <c r="F164" s="20">
        <v>70900</v>
      </c>
      <c r="G164" s="14">
        <f t="shared" si="9"/>
        <v>-1.6597510373444035E-2</v>
      </c>
      <c r="H164" s="14">
        <f t="shared" si="9"/>
        <v>1.0781671159029615E-2</v>
      </c>
      <c r="I164" s="14">
        <f t="shared" si="9"/>
        <v>-3.0172413793103425E-2</v>
      </c>
      <c r="J164" s="14">
        <f t="shared" si="9"/>
        <v>1.5665796344647598E-2</v>
      </c>
      <c r="K164" s="14">
        <f t="shared" si="9"/>
        <v>-8.3916083916083517E-3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5">
      <c r="A165" s="12">
        <v>44756</v>
      </c>
      <c r="B165" s="20">
        <v>24100</v>
      </c>
      <c r="C165" s="20">
        <v>37100</v>
      </c>
      <c r="D165" s="20">
        <v>23200</v>
      </c>
      <c r="E165" s="20">
        <v>38300</v>
      </c>
      <c r="F165" s="20">
        <v>71500</v>
      </c>
      <c r="G165" s="14">
        <f t="shared" si="9"/>
        <v>-4.1322314049586639E-3</v>
      </c>
      <c r="H165" s="14">
        <f t="shared" si="9"/>
        <v>6.6091954022988508E-2</v>
      </c>
      <c r="I165" s="14">
        <f t="shared" si="9"/>
        <v>-8.5470085470085166E-3</v>
      </c>
      <c r="J165" s="14">
        <f t="shared" si="9"/>
        <v>-1.9206145966709331E-2</v>
      </c>
      <c r="K165" s="14">
        <f t="shared" si="9"/>
        <v>5.6258790436005679E-3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5">
      <c r="A166" s="12">
        <v>44755</v>
      </c>
      <c r="B166" s="20">
        <v>24200</v>
      </c>
      <c r="C166" s="20">
        <v>34800</v>
      </c>
      <c r="D166" s="20">
        <v>23400</v>
      </c>
      <c r="E166" s="20">
        <v>39050</v>
      </c>
      <c r="F166" s="20">
        <v>71100</v>
      </c>
      <c r="G166" s="14">
        <f t="shared" si="9"/>
        <v>-8.1967213114754189E-3</v>
      </c>
      <c r="H166" s="14">
        <f t="shared" si="9"/>
        <v>2.6548672566371723E-2</v>
      </c>
      <c r="I166" s="14">
        <f t="shared" si="9"/>
        <v>-1.2658227848101222E-2</v>
      </c>
      <c r="J166" s="14">
        <f t="shared" si="9"/>
        <v>1.2820512820512775E-3</v>
      </c>
      <c r="K166" s="14">
        <f t="shared" si="9"/>
        <v>-9.7493036211698803E-3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5">
      <c r="A167" s="12">
        <v>44754</v>
      </c>
      <c r="B167" s="20">
        <v>24400</v>
      </c>
      <c r="C167" s="20">
        <v>33900</v>
      </c>
      <c r="D167" s="20">
        <v>23700</v>
      </c>
      <c r="E167" s="20">
        <v>39000</v>
      </c>
      <c r="F167" s="20">
        <v>71800</v>
      </c>
      <c r="G167" s="14">
        <f t="shared" si="9"/>
        <v>2.5210084033613356E-2</v>
      </c>
      <c r="H167" s="14">
        <f t="shared" si="9"/>
        <v>1.1940298507462588E-2</v>
      </c>
      <c r="I167" s="14">
        <f t="shared" si="9"/>
        <v>8.5106382978723527E-3</v>
      </c>
      <c r="J167" s="14">
        <f t="shared" si="9"/>
        <v>0</v>
      </c>
      <c r="K167" s="14">
        <f t="shared" si="9"/>
        <v>3.4582132564841439E-2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5">
      <c r="A168" s="12">
        <v>44753</v>
      </c>
      <c r="B168" s="20">
        <v>23800</v>
      </c>
      <c r="C168" s="20">
        <v>33500</v>
      </c>
      <c r="D168" s="20">
        <v>23500</v>
      </c>
      <c r="E168" s="20">
        <v>39000</v>
      </c>
      <c r="F168" s="20">
        <v>69400</v>
      </c>
      <c r="G168" s="14">
        <f t="shared" si="9"/>
        <v>-8.3333333333333037E-3</v>
      </c>
      <c r="H168" s="14">
        <f t="shared" si="9"/>
        <v>9.0361445783131433E-3</v>
      </c>
      <c r="I168" s="14">
        <f t="shared" si="9"/>
        <v>1.2931034482758674E-2</v>
      </c>
      <c r="J168" s="14">
        <f t="shared" si="9"/>
        <v>2.6315789473684292E-2</v>
      </c>
      <c r="K168" s="14">
        <f t="shared" si="9"/>
        <v>2.0588235294117574E-2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5">
      <c r="A169" s="12">
        <v>44750</v>
      </c>
      <c r="B169" s="20">
        <v>24000</v>
      </c>
      <c r="C169" s="20">
        <v>33200</v>
      </c>
      <c r="D169" s="20">
        <v>23200</v>
      </c>
      <c r="E169" s="20">
        <v>38000</v>
      </c>
      <c r="F169" s="20">
        <v>68000</v>
      </c>
      <c r="G169" s="14">
        <f t="shared" si="9"/>
        <v>-4.7619047619047672E-2</v>
      </c>
      <c r="H169" s="14">
        <f t="shared" si="9"/>
        <v>-1.1904761904761862E-2</v>
      </c>
      <c r="I169" s="14">
        <f t="shared" si="9"/>
        <v>-2.9288702928870314E-2</v>
      </c>
      <c r="J169" s="14">
        <f t="shared" si="9"/>
        <v>0</v>
      </c>
      <c r="K169" s="14">
        <f t="shared" si="9"/>
        <v>3.8167938931297662E-2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5">
      <c r="A170" s="12">
        <v>44749</v>
      </c>
      <c r="B170" s="20">
        <v>25200</v>
      </c>
      <c r="C170" s="20">
        <v>33600</v>
      </c>
      <c r="D170" s="20">
        <v>23900</v>
      </c>
      <c r="E170" s="20">
        <v>38000</v>
      </c>
      <c r="F170" s="20">
        <v>65500</v>
      </c>
      <c r="G170" s="14">
        <f t="shared" ref="G170:K220" si="10">B170/B171-1</f>
        <v>1.2048192771084265E-2</v>
      </c>
      <c r="H170" s="14">
        <f t="shared" si="10"/>
        <v>9.009009009008917E-3</v>
      </c>
      <c r="I170" s="14">
        <f t="shared" si="10"/>
        <v>5.2863436123347984E-2</v>
      </c>
      <c r="J170" s="14">
        <f t="shared" si="10"/>
        <v>2.7027027027026973E-2</v>
      </c>
      <c r="K170" s="14">
        <f t="shared" si="10"/>
        <v>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5">
      <c r="A171" s="12">
        <v>44748</v>
      </c>
      <c r="B171" s="20">
        <v>24900</v>
      </c>
      <c r="C171" s="20">
        <v>33300</v>
      </c>
      <c r="D171" s="20">
        <v>22700</v>
      </c>
      <c r="E171" s="20">
        <v>37000</v>
      </c>
      <c r="F171" s="20">
        <v>65500</v>
      </c>
      <c r="G171" s="14">
        <f t="shared" si="10"/>
        <v>1.2195121951219523E-2</v>
      </c>
      <c r="H171" s="14">
        <f t="shared" si="10"/>
        <v>3.0120481927711218E-3</v>
      </c>
      <c r="I171" s="14">
        <f t="shared" si="10"/>
        <v>6.5727699530516492E-2</v>
      </c>
      <c r="J171" s="14">
        <f t="shared" si="10"/>
        <v>0</v>
      </c>
      <c r="K171" s="14">
        <f t="shared" si="10"/>
        <v>-6.0698027314112224E-3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5">
      <c r="A172" s="12">
        <v>44747</v>
      </c>
      <c r="B172" s="20">
        <v>24600</v>
      </c>
      <c r="C172" s="20">
        <v>33200</v>
      </c>
      <c r="D172" s="20">
        <v>21300</v>
      </c>
      <c r="E172" s="20">
        <v>37000</v>
      </c>
      <c r="F172" s="20">
        <v>65900</v>
      </c>
      <c r="G172" s="14">
        <f t="shared" si="10"/>
        <v>8.3700440528634346E-2</v>
      </c>
      <c r="H172" s="14">
        <f t="shared" si="10"/>
        <v>-2.9239766081871399E-2</v>
      </c>
      <c r="I172" s="14">
        <f t="shared" si="10"/>
        <v>-1.8433179723502335E-2</v>
      </c>
      <c r="J172" s="14">
        <f t="shared" si="10"/>
        <v>-2.6315789473684181E-2</v>
      </c>
      <c r="K172" s="14">
        <f t="shared" si="10"/>
        <v>-2.5147928994082802E-2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5">
      <c r="A173" s="12">
        <v>44746</v>
      </c>
      <c r="B173" s="20">
        <v>22700</v>
      </c>
      <c r="C173" s="20">
        <v>34200</v>
      </c>
      <c r="D173" s="20">
        <v>21700</v>
      </c>
      <c r="E173" s="20">
        <v>38000</v>
      </c>
      <c r="F173" s="20">
        <v>67600</v>
      </c>
      <c r="G173" s="14">
        <f t="shared" si="10"/>
        <v>-4.3859649122807154E-3</v>
      </c>
      <c r="H173" s="14">
        <f t="shared" si="10"/>
        <v>1.1834319526627279E-2</v>
      </c>
      <c r="I173" s="14">
        <f t="shared" si="10"/>
        <v>-9.1324200913242004E-3</v>
      </c>
      <c r="J173" s="14">
        <f t="shared" si="10"/>
        <v>-7.8328981723237989E-3</v>
      </c>
      <c r="K173" s="14">
        <f t="shared" si="10"/>
        <v>1.1976047904191711E-2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5">
      <c r="A174" s="12">
        <v>44743</v>
      </c>
      <c r="B174" s="20">
        <v>22800</v>
      </c>
      <c r="C174" s="20">
        <v>33800</v>
      </c>
      <c r="D174" s="20">
        <v>21900</v>
      </c>
      <c r="E174" s="20">
        <v>38300</v>
      </c>
      <c r="F174" s="20">
        <v>66800</v>
      </c>
      <c r="G174" s="14">
        <f t="shared" si="10"/>
        <v>-2.1459227467811148E-2</v>
      </c>
      <c r="H174" s="14">
        <f t="shared" si="10"/>
        <v>0</v>
      </c>
      <c r="I174" s="14">
        <f t="shared" si="10"/>
        <v>-1.3513513513513487E-2</v>
      </c>
      <c r="J174" s="14">
        <f t="shared" si="10"/>
        <v>5.249343832020914E-3</v>
      </c>
      <c r="K174" s="14">
        <f t="shared" si="10"/>
        <v>-3.0478955007256947E-2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5">
      <c r="A175" s="12">
        <v>44742</v>
      </c>
      <c r="B175" s="20">
        <v>23300</v>
      </c>
      <c r="C175" s="20">
        <v>33800</v>
      </c>
      <c r="D175" s="20">
        <v>22200</v>
      </c>
      <c r="E175" s="20">
        <v>38100</v>
      </c>
      <c r="F175" s="20">
        <v>68900</v>
      </c>
      <c r="G175" s="14">
        <f t="shared" si="10"/>
        <v>3.5555555555555562E-2</v>
      </c>
      <c r="H175" s="14">
        <f t="shared" si="10"/>
        <v>4.806201550387601E-2</v>
      </c>
      <c r="I175" s="14">
        <f t="shared" si="10"/>
        <v>3.2558139534883734E-2</v>
      </c>
      <c r="J175" s="14">
        <f t="shared" si="10"/>
        <v>5.8333333333333348E-2</v>
      </c>
      <c r="K175" s="14">
        <f t="shared" si="10"/>
        <v>-8.6330935251798246E-3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5">
      <c r="A176" s="12">
        <v>44741</v>
      </c>
      <c r="B176" s="20">
        <v>22500</v>
      </c>
      <c r="C176" s="20">
        <v>32250</v>
      </c>
      <c r="D176" s="20">
        <v>21500</v>
      </c>
      <c r="E176" s="20">
        <v>36000</v>
      </c>
      <c r="F176" s="20">
        <v>69500</v>
      </c>
      <c r="G176" s="14">
        <f t="shared" si="10"/>
        <v>0</v>
      </c>
      <c r="H176" s="14">
        <f t="shared" si="10"/>
        <v>-1.0736196319018454E-2</v>
      </c>
      <c r="I176" s="14">
        <f t="shared" si="10"/>
        <v>-1.3761467889908285E-2</v>
      </c>
      <c r="J176" s="14">
        <f t="shared" si="10"/>
        <v>1.3908205841446364E-3</v>
      </c>
      <c r="K176" s="14">
        <f t="shared" si="10"/>
        <v>5.4628224582701002E-2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5">
      <c r="A177" s="12">
        <v>44740</v>
      </c>
      <c r="B177" s="20">
        <v>22500</v>
      </c>
      <c r="C177" s="20">
        <v>32600</v>
      </c>
      <c r="D177" s="20">
        <v>21800</v>
      </c>
      <c r="E177" s="20">
        <v>35950</v>
      </c>
      <c r="F177" s="20">
        <v>65900</v>
      </c>
      <c r="G177" s="14">
        <f t="shared" si="10"/>
        <v>3.2110091743119185E-2</v>
      </c>
      <c r="H177" s="14">
        <f t="shared" si="10"/>
        <v>-3.0581039755351869E-3</v>
      </c>
      <c r="I177" s="14">
        <f t="shared" si="10"/>
        <v>2.3474178403755763E-2</v>
      </c>
      <c r="J177" s="14">
        <f t="shared" si="10"/>
        <v>0</v>
      </c>
      <c r="K177" s="14">
        <f t="shared" si="10"/>
        <v>6.9805194805194759E-2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5">
      <c r="A178" s="12">
        <v>44739</v>
      </c>
      <c r="B178" s="20">
        <v>21800</v>
      </c>
      <c r="C178" s="20">
        <v>32700</v>
      </c>
      <c r="D178" s="20">
        <v>21300</v>
      </c>
      <c r="E178" s="20">
        <v>35950</v>
      </c>
      <c r="F178" s="20">
        <v>61600</v>
      </c>
      <c r="G178" s="14">
        <f t="shared" si="10"/>
        <v>-3.539823008849563E-2</v>
      </c>
      <c r="H178" s="14">
        <f t="shared" si="10"/>
        <v>-9.0909090909090384E-3</v>
      </c>
      <c r="I178" s="14">
        <f t="shared" si="10"/>
        <v>1.4285714285714235E-2</v>
      </c>
      <c r="J178" s="14">
        <f t="shared" si="10"/>
        <v>-6.906077348066253E-3</v>
      </c>
      <c r="K178" s="14">
        <f t="shared" si="10"/>
        <v>9.8360655737705915E-3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5">
      <c r="A179" s="12">
        <v>44736</v>
      </c>
      <c r="B179" s="20">
        <v>22600</v>
      </c>
      <c r="C179" s="20">
        <v>33000</v>
      </c>
      <c r="D179" s="20">
        <v>21000</v>
      </c>
      <c r="E179" s="20">
        <v>36200</v>
      </c>
      <c r="F179" s="20">
        <v>61000</v>
      </c>
      <c r="G179" s="14">
        <f t="shared" si="10"/>
        <v>4.1474654377880116E-2</v>
      </c>
      <c r="H179" s="14">
        <f t="shared" si="10"/>
        <v>1.5174506828528056E-3</v>
      </c>
      <c r="I179" s="14">
        <f t="shared" si="10"/>
        <v>2.9411764705882248E-2</v>
      </c>
      <c r="J179" s="14">
        <f t="shared" si="10"/>
        <v>0</v>
      </c>
      <c r="K179" s="14">
        <f t="shared" si="10"/>
        <v>-3.2679738562091387E-3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35">
      <c r="A180" s="12">
        <v>44735</v>
      </c>
      <c r="B180" s="20">
        <v>21700</v>
      </c>
      <c r="C180" s="20">
        <v>32950</v>
      </c>
      <c r="D180" s="20">
        <v>20400</v>
      </c>
      <c r="E180" s="20">
        <v>36200</v>
      </c>
      <c r="F180" s="20">
        <v>61200</v>
      </c>
      <c r="G180" s="14">
        <f t="shared" si="10"/>
        <v>2.8436018957346043E-2</v>
      </c>
      <c r="H180" s="14">
        <f t="shared" si="10"/>
        <v>1.0736196319018454E-2</v>
      </c>
      <c r="I180" s="14">
        <f t="shared" si="10"/>
        <v>9.9009900990099098E-3</v>
      </c>
      <c r="J180" s="14">
        <f t="shared" si="10"/>
        <v>1.3831258644536604E-3</v>
      </c>
      <c r="K180" s="14">
        <f t="shared" si="10"/>
        <v>6.5789473684210176E-3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5">
      <c r="A181" s="12">
        <v>44734</v>
      </c>
      <c r="B181" s="20">
        <v>21100</v>
      </c>
      <c r="C181" s="20">
        <v>32600</v>
      </c>
      <c r="D181" s="20">
        <v>20200</v>
      </c>
      <c r="E181" s="20">
        <v>36150</v>
      </c>
      <c r="F181" s="20">
        <v>60800</v>
      </c>
      <c r="G181" s="14">
        <f t="shared" si="10"/>
        <v>-3.2110091743119296E-2</v>
      </c>
      <c r="H181" s="14">
        <f t="shared" si="10"/>
        <v>1.2422360248447228E-2</v>
      </c>
      <c r="I181" s="14">
        <f t="shared" si="10"/>
        <v>-1.4634146341463428E-2</v>
      </c>
      <c r="J181" s="14">
        <f t="shared" si="10"/>
        <v>-9.5890410958904271E-3</v>
      </c>
      <c r="K181" s="14">
        <f t="shared" si="10"/>
        <v>-1.6420361247947435E-3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35">
      <c r="A182" s="12">
        <v>44733</v>
      </c>
      <c r="B182" s="20">
        <v>21800</v>
      </c>
      <c r="C182" s="20">
        <v>32200</v>
      </c>
      <c r="D182" s="20">
        <v>20500</v>
      </c>
      <c r="E182" s="20">
        <v>36500</v>
      </c>
      <c r="F182" s="20">
        <v>60900</v>
      </c>
      <c r="G182" s="14">
        <f t="shared" si="10"/>
        <v>5.8252427184465994E-2</v>
      </c>
      <c r="H182" s="14">
        <f t="shared" si="10"/>
        <v>3.2051282051282159E-2</v>
      </c>
      <c r="I182" s="14">
        <f t="shared" si="10"/>
        <v>-2.8436018957345932E-2</v>
      </c>
      <c r="J182" s="14">
        <f t="shared" si="10"/>
        <v>1.9553072625698276E-2</v>
      </c>
      <c r="K182" s="14">
        <f t="shared" si="10"/>
        <v>4.9504950495049549E-3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5">
      <c r="A183" s="12">
        <v>44732</v>
      </c>
      <c r="B183" s="20">
        <v>20600</v>
      </c>
      <c r="C183" s="20">
        <v>31200</v>
      </c>
      <c r="D183" s="20">
        <v>21100</v>
      </c>
      <c r="E183" s="20">
        <v>35800</v>
      </c>
      <c r="F183" s="20">
        <v>60600</v>
      </c>
      <c r="G183" s="14">
        <f t="shared" si="10"/>
        <v>9.5744680851063801E-2</v>
      </c>
      <c r="H183" s="14">
        <f t="shared" si="10"/>
        <v>4.173622704507518E-2</v>
      </c>
      <c r="I183" s="14">
        <f t="shared" si="10"/>
        <v>5.4999999999999938E-2</v>
      </c>
      <c r="J183" s="14">
        <f t="shared" si="10"/>
        <v>4.0697674418604723E-2</v>
      </c>
      <c r="K183" s="14">
        <f t="shared" si="10"/>
        <v>2.7118644067796627E-2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5">
      <c r="A184" s="12">
        <v>44729</v>
      </c>
      <c r="B184" s="20">
        <v>18800</v>
      </c>
      <c r="C184" s="20">
        <v>29950</v>
      </c>
      <c r="D184" s="20">
        <v>20000</v>
      </c>
      <c r="E184" s="20">
        <v>34400</v>
      </c>
      <c r="F184" s="20">
        <v>59000</v>
      </c>
      <c r="G184" s="14">
        <f t="shared" si="10"/>
        <v>3.2967032967033072E-2</v>
      </c>
      <c r="H184" s="14">
        <f t="shared" si="10"/>
        <v>1.5254237288135686E-2</v>
      </c>
      <c r="I184" s="14">
        <f t="shared" si="10"/>
        <v>2.0408163265306145E-2</v>
      </c>
      <c r="J184" s="14">
        <f t="shared" si="10"/>
        <v>1.4556040756914523E-3</v>
      </c>
      <c r="K184" s="14">
        <f t="shared" si="10"/>
        <v>2.430555555555558E-2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5">
      <c r="A185" s="12">
        <v>44728</v>
      </c>
      <c r="B185" s="20">
        <v>18200</v>
      </c>
      <c r="C185" s="20">
        <v>29500</v>
      </c>
      <c r="D185" s="20">
        <v>19600</v>
      </c>
      <c r="E185" s="20">
        <v>34350</v>
      </c>
      <c r="F185" s="20">
        <v>57600</v>
      </c>
      <c r="G185" s="14">
        <f t="shared" si="10"/>
        <v>-1.0869565217391353E-2</v>
      </c>
      <c r="H185" s="14">
        <f t="shared" si="10"/>
        <v>-3.5947712418300637E-2</v>
      </c>
      <c r="I185" s="14">
        <f t="shared" si="10"/>
        <v>-2.9702970297029729E-2</v>
      </c>
      <c r="J185" s="14">
        <f t="shared" si="10"/>
        <v>-2.6912181303116123E-2</v>
      </c>
      <c r="K185" s="14">
        <f t="shared" si="10"/>
        <v>6.8645640074211478E-2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5">
      <c r="A186" s="12">
        <v>44727</v>
      </c>
      <c r="B186" s="20">
        <v>18400</v>
      </c>
      <c r="C186" s="20">
        <v>30600</v>
      </c>
      <c r="D186" s="20">
        <v>20200</v>
      </c>
      <c r="E186" s="20">
        <v>35300</v>
      </c>
      <c r="F186" s="20">
        <v>53900</v>
      </c>
      <c r="G186" s="14">
        <f t="shared" si="10"/>
        <v>5.464480874316946E-3</v>
      </c>
      <c r="H186" s="14">
        <f t="shared" si="10"/>
        <v>9.9009900990099098E-3</v>
      </c>
      <c r="I186" s="14">
        <f t="shared" si="10"/>
        <v>9.7826086956521729E-2</v>
      </c>
      <c r="J186" s="14">
        <f t="shared" si="10"/>
        <v>-1.1204481792717047E-2</v>
      </c>
      <c r="K186" s="14">
        <f t="shared" si="10"/>
        <v>6.944444444444442E-2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5">
      <c r="A187" s="12">
        <v>44726</v>
      </c>
      <c r="B187" s="20">
        <v>18300</v>
      </c>
      <c r="C187" s="20">
        <v>30300</v>
      </c>
      <c r="D187" s="20">
        <v>18400</v>
      </c>
      <c r="E187" s="20">
        <v>35700</v>
      </c>
      <c r="F187" s="20">
        <v>50400</v>
      </c>
      <c r="G187" s="14">
        <f t="shared" si="10"/>
        <v>1.6666666666666607E-2</v>
      </c>
      <c r="H187" s="14">
        <f t="shared" si="10"/>
        <v>2.020202020202011E-2</v>
      </c>
      <c r="I187" s="14">
        <f t="shared" si="10"/>
        <v>9.5238095238095344E-2</v>
      </c>
      <c r="J187" s="14">
        <f t="shared" si="10"/>
        <v>-5.5710306406685506E-3</v>
      </c>
      <c r="K187" s="14">
        <f t="shared" si="10"/>
        <v>8.0000000000000071E-3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5">
      <c r="A188" s="12">
        <v>44725</v>
      </c>
      <c r="B188" s="20">
        <v>18000</v>
      </c>
      <c r="C188" s="20">
        <v>29700</v>
      </c>
      <c r="D188" s="20">
        <v>16800</v>
      </c>
      <c r="E188" s="20">
        <v>35900</v>
      </c>
      <c r="F188" s="20">
        <v>50000</v>
      </c>
      <c r="G188" s="14">
        <f t="shared" si="10"/>
        <v>9.7560975609756184E-2</v>
      </c>
      <c r="H188" s="14">
        <f t="shared" si="10"/>
        <v>2.9462738301559765E-2</v>
      </c>
      <c r="I188" s="14">
        <f t="shared" si="10"/>
        <v>9.8039215686274606E-2</v>
      </c>
      <c r="J188" s="14">
        <f t="shared" si="10"/>
        <v>2.5714285714285801E-2</v>
      </c>
      <c r="K188" s="14">
        <f t="shared" si="10"/>
        <v>3.3057851239669311E-2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5">
      <c r="A189" s="12">
        <v>44722</v>
      </c>
      <c r="B189" s="20">
        <v>16400</v>
      </c>
      <c r="C189" s="20">
        <v>28850</v>
      </c>
      <c r="D189" s="20">
        <v>15300</v>
      </c>
      <c r="E189" s="20">
        <v>35000</v>
      </c>
      <c r="F189" s="20">
        <v>48400</v>
      </c>
      <c r="G189" s="14">
        <f t="shared" si="10"/>
        <v>5.1282051282051322E-2</v>
      </c>
      <c r="H189" s="14">
        <f t="shared" si="10"/>
        <v>1.763668430335108E-2</v>
      </c>
      <c r="I189" s="14">
        <f t="shared" si="10"/>
        <v>3.3783783783783772E-2</v>
      </c>
      <c r="J189" s="14">
        <f t="shared" si="10"/>
        <v>-8.4985835694051381E-3</v>
      </c>
      <c r="K189" s="14">
        <f t="shared" si="10"/>
        <v>2.7600849256900206E-2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35">
      <c r="A190" s="12">
        <v>44721</v>
      </c>
      <c r="B190" s="20">
        <v>15600</v>
      </c>
      <c r="C190" s="20">
        <v>28350</v>
      </c>
      <c r="D190" s="20">
        <v>14800</v>
      </c>
      <c r="E190" s="20">
        <v>35300</v>
      </c>
      <c r="F190" s="20">
        <v>47100</v>
      </c>
      <c r="G190" s="14">
        <f t="shared" si="10"/>
        <v>-6.0240963855421659E-2</v>
      </c>
      <c r="H190" s="14">
        <f t="shared" si="10"/>
        <v>-2.910958904109584E-2</v>
      </c>
      <c r="I190" s="14">
        <f t="shared" si="10"/>
        <v>-9.7560975609756073E-2</v>
      </c>
      <c r="J190" s="14">
        <f t="shared" si="10"/>
        <v>-1.4144271570014633E-3</v>
      </c>
      <c r="K190" s="14">
        <f t="shared" si="10"/>
        <v>2.3913043478260843E-2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35">
      <c r="A191" s="12">
        <v>44720</v>
      </c>
      <c r="B191" s="20">
        <v>16600</v>
      </c>
      <c r="C191" s="20">
        <v>29200</v>
      </c>
      <c r="D191" s="20">
        <v>16400</v>
      </c>
      <c r="E191" s="20">
        <v>35350</v>
      </c>
      <c r="F191" s="20">
        <v>46000</v>
      </c>
      <c r="G191" s="14">
        <f t="shared" si="10"/>
        <v>8.4967320261437829E-2</v>
      </c>
      <c r="H191" s="14">
        <f t="shared" si="10"/>
        <v>1.5652173913043521E-2</v>
      </c>
      <c r="I191" s="14">
        <f t="shared" si="10"/>
        <v>3.1446540880503138E-2</v>
      </c>
      <c r="J191" s="14">
        <f t="shared" si="10"/>
        <v>2.9112081513828159E-2</v>
      </c>
      <c r="K191" s="14">
        <f t="shared" si="10"/>
        <v>2.1087680355160954E-2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35">
      <c r="A192" s="12">
        <v>44719</v>
      </c>
      <c r="B192" s="20">
        <v>15300</v>
      </c>
      <c r="C192" s="20">
        <v>28750</v>
      </c>
      <c r="D192" s="20">
        <v>15900</v>
      </c>
      <c r="E192" s="20">
        <v>34350</v>
      </c>
      <c r="F192" s="20">
        <v>45050</v>
      </c>
      <c r="G192" s="14">
        <f t="shared" si="10"/>
        <v>-9.9999999999999978E-2</v>
      </c>
      <c r="H192" s="14">
        <f t="shared" si="10"/>
        <v>-6.9579288025889974E-2</v>
      </c>
      <c r="I192" s="14">
        <f t="shared" si="10"/>
        <v>-9.6590909090909061E-2</v>
      </c>
      <c r="J192" s="14">
        <f t="shared" si="10"/>
        <v>-6.9105691056910556E-2</v>
      </c>
      <c r="K192" s="14">
        <f t="shared" si="10"/>
        <v>-6.9214876033057871E-2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35">
      <c r="A193" s="12">
        <v>44718</v>
      </c>
      <c r="B193" s="20">
        <v>17000</v>
      </c>
      <c r="C193" s="20">
        <v>30900</v>
      </c>
      <c r="D193" s="20">
        <v>17600</v>
      </c>
      <c r="E193" s="20">
        <v>36900</v>
      </c>
      <c r="F193" s="20">
        <v>48400</v>
      </c>
      <c r="G193" s="14">
        <f t="shared" si="10"/>
        <v>-8.6021505376344121E-2</v>
      </c>
      <c r="H193" s="14">
        <f t="shared" si="10"/>
        <v>-3.1347962382445194E-2</v>
      </c>
      <c r="I193" s="14">
        <f t="shared" si="10"/>
        <v>-9.7435897435897423E-2</v>
      </c>
      <c r="J193" s="14">
        <f t="shared" si="10"/>
        <v>0</v>
      </c>
      <c r="K193" s="14">
        <f t="shared" si="10"/>
        <v>-6.5637065637065617E-2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5">
      <c r="A194" s="12">
        <v>44715</v>
      </c>
      <c r="B194" s="20">
        <v>18600</v>
      </c>
      <c r="C194" s="20">
        <v>31900</v>
      </c>
      <c r="D194" s="20">
        <v>19500</v>
      </c>
      <c r="E194" s="20">
        <v>36900</v>
      </c>
      <c r="F194" s="20">
        <v>51800</v>
      </c>
      <c r="G194" s="14">
        <f t="shared" si="10"/>
        <v>-5.5837563451776595E-2</v>
      </c>
      <c r="H194" s="14">
        <f t="shared" si="10"/>
        <v>-3.3333333333333326E-2</v>
      </c>
      <c r="I194" s="14">
        <f t="shared" si="10"/>
        <v>-9.722222222222221E-2</v>
      </c>
      <c r="J194" s="14">
        <f t="shared" si="10"/>
        <v>2.7173913043478937E-3</v>
      </c>
      <c r="K194" s="14">
        <f t="shared" si="10"/>
        <v>1.9685039370078705E-2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35">
      <c r="A195" s="12">
        <v>44714</v>
      </c>
      <c r="B195" s="20">
        <v>19700</v>
      </c>
      <c r="C195" s="20">
        <v>33000</v>
      </c>
      <c r="D195" s="20">
        <v>21600</v>
      </c>
      <c r="E195" s="20">
        <v>36800</v>
      </c>
      <c r="F195" s="20">
        <v>50800</v>
      </c>
      <c r="G195" s="14">
        <f t="shared" si="10"/>
        <v>-1.0050251256281451E-2</v>
      </c>
      <c r="H195" s="14">
        <f t="shared" si="10"/>
        <v>0</v>
      </c>
      <c r="I195" s="14">
        <f t="shared" si="10"/>
        <v>-3.1390134529147962E-2</v>
      </c>
      <c r="J195" s="14">
        <f t="shared" si="10"/>
        <v>2.2222222222222143E-2</v>
      </c>
      <c r="K195" s="14">
        <f t="shared" si="10"/>
        <v>6.9473684210526354E-2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35">
      <c r="A196" s="12">
        <v>44713</v>
      </c>
      <c r="B196" s="20">
        <v>19900</v>
      </c>
      <c r="C196" s="20">
        <v>33000</v>
      </c>
      <c r="D196" s="20">
        <v>22300</v>
      </c>
      <c r="E196" s="20">
        <v>36000</v>
      </c>
      <c r="F196" s="20">
        <v>47500</v>
      </c>
      <c r="G196" s="14">
        <f t="shared" si="10"/>
        <v>-1.9704433497536922E-2</v>
      </c>
      <c r="H196" s="14">
        <f t="shared" si="10"/>
        <v>-9.009009009009028E-3</v>
      </c>
      <c r="I196" s="14">
        <f t="shared" si="10"/>
        <v>-4.7008547008547064E-2</v>
      </c>
      <c r="J196" s="14">
        <f t="shared" si="10"/>
        <v>4.0462427745664664E-2</v>
      </c>
      <c r="K196" s="14">
        <f t="shared" si="10"/>
        <v>8.4925690021231404E-3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35">
      <c r="A197" s="12">
        <v>44712</v>
      </c>
      <c r="B197" s="20">
        <v>20300</v>
      </c>
      <c r="C197" s="20">
        <v>33300</v>
      </c>
      <c r="D197" s="20">
        <v>23400</v>
      </c>
      <c r="E197" s="20">
        <v>34600</v>
      </c>
      <c r="F197" s="20">
        <v>47100</v>
      </c>
      <c r="G197" s="14">
        <f t="shared" si="10"/>
        <v>3.0456852791878264E-2</v>
      </c>
      <c r="H197" s="14">
        <f t="shared" si="10"/>
        <v>1.6793893129771087E-2</v>
      </c>
      <c r="I197" s="14">
        <f t="shared" si="10"/>
        <v>-1.2658227848101222E-2</v>
      </c>
      <c r="J197" s="14">
        <f t="shared" si="10"/>
        <v>4.8484848484848575E-2</v>
      </c>
      <c r="K197" s="14">
        <f t="shared" si="10"/>
        <v>3.289473684210531E-2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5">
      <c r="A198" s="12">
        <v>44711</v>
      </c>
      <c r="B198" s="20">
        <v>19700</v>
      </c>
      <c r="C198" s="20">
        <v>32750</v>
      </c>
      <c r="D198" s="20">
        <v>23700</v>
      </c>
      <c r="E198" s="20">
        <v>33000</v>
      </c>
      <c r="F198" s="20">
        <v>45600</v>
      </c>
      <c r="G198" s="14">
        <f t="shared" si="10"/>
        <v>4.2328042328042326E-2</v>
      </c>
      <c r="H198" s="14">
        <f t="shared" si="10"/>
        <v>6.1443932411673341E-3</v>
      </c>
      <c r="I198" s="14">
        <f t="shared" si="10"/>
        <v>7.2398190045248834E-2</v>
      </c>
      <c r="J198" s="14">
        <f t="shared" si="10"/>
        <v>3.125E-2</v>
      </c>
      <c r="K198" s="14">
        <f t="shared" si="10"/>
        <v>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5">
      <c r="A199" s="12">
        <v>44708</v>
      </c>
      <c r="B199" s="20">
        <v>18900</v>
      </c>
      <c r="C199" s="20">
        <v>32550</v>
      </c>
      <c r="D199" s="20">
        <v>22100</v>
      </c>
      <c r="E199" s="20">
        <v>32000</v>
      </c>
      <c r="F199" s="20">
        <v>45600</v>
      </c>
      <c r="G199" s="14">
        <f t="shared" si="10"/>
        <v>-9.5693779904306275E-2</v>
      </c>
      <c r="H199" s="14">
        <f t="shared" si="10"/>
        <v>-6.7335243553008572E-2</v>
      </c>
      <c r="I199" s="14">
        <f t="shared" si="10"/>
        <v>-9.7959183673469341E-2</v>
      </c>
      <c r="J199" s="14">
        <f t="shared" si="10"/>
        <v>-4.6199701937406856E-2</v>
      </c>
      <c r="K199" s="14">
        <f t="shared" si="10"/>
        <v>-6.9387755102040871E-2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5">
      <c r="A200" s="12">
        <v>44707</v>
      </c>
      <c r="B200" s="20">
        <v>20900</v>
      </c>
      <c r="C200" s="20">
        <v>34900</v>
      </c>
      <c r="D200" s="20">
        <v>24500</v>
      </c>
      <c r="E200" s="20">
        <v>33550</v>
      </c>
      <c r="F200" s="20">
        <v>49000</v>
      </c>
      <c r="G200" s="14">
        <f t="shared" si="10"/>
        <v>-3.240740740740744E-2</v>
      </c>
      <c r="H200" s="14">
        <f t="shared" si="10"/>
        <v>-6.9333333333333358E-2</v>
      </c>
      <c r="I200" s="14">
        <f t="shared" si="10"/>
        <v>-2.3904382470119501E-2</v>
      </c>
      <c r="J200" s="14">
        <f t="shared" si="10"/>
        <v>1.9756838905775176E-2</v>
      </c>
      <c r="K200" s="14">
        <f t="shared" si="10"/>
        <v>1.6597510373443924E-2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5">
      <c r="A201" s="12">
        <v>44706</v>
      </c>
      <c r="B201" s="20">
        <v>21600</v>
      </c>
      <c r="C201" s="20">
        <v>37500</v>
      </c>
      <c r="D201" s="20">
        <v>25100</v>
      </c>
      <c r="E201" s="20">
        <v>32900</v>
      </c>
      <c r="F201" s="20">
        <v>48200</v>
      </c>
      <c r="G201" s="14">
        <f t="shared" si="10"/>
        <v>3.8461538461538547E-2</v>
      </c>
      <c r="H201" s="14">
        <f t="shared" si="10"/>
        <v>-1.8324607329842979E-2</v>
      </c>
      <c r="I201" s="14">
        <f t="shared" si="10"/>
        <v>1.6194331983805599E-2</v>
      </c>
      <c r="J201" s="14">
        <f t="shared" si="10"/>
        <v>-6.0422960725075026E-3</v>
      </c>
      <c r="K201" s="14">
        <f t="shared" si="10"/>
        <v>4.3290043290043378E-2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5">
      <c r="A202" s="12">
        <v>44705</v>
      </c>
      <c r="B202" s="20">
        <v>20800</v>
      </c>
      <c r="C202" s="20">
        <v>38200</v>
      </c>
      <c r="D202" s="20">
        <v>24700</v>
      </c>
      <c r="E202" s="20">
        <v>33100</v>
      </c>
      <c r="F202" s="20">
        <v>46200</v>
      </c>
      <c r="G202" s="14">
        <f t="shared" si="10"/>
        <v>1.4634146341463428E-2</v>
      </c>
      <c r="H202" s="14">
        <f t="shared" si="10"/>
        <v>2.6881720430107503E-2</v>
      </c>
      <c r="I202" s="14">
        <f t="shared" si="10"/>
        <v>8.3333333333333259E-2</v>
      </c>
      <c r="J202" s="14">
        <f t="shared" si="10"/>
        <v>1.6897081413210335E-2</v>
      </c>
      <c r="K202" s="14">
        <f t="shared" si="10"/>
        <v>-1.0706638115631661E-2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5">
      <c r="A203" s="12">
        <v>44704</v>
      </c>
      <c r="B203" s="20">
        <v>20500</v>
      </c>
      <c r="C203" s="20">
        <v>37200</v>
      </c>
      <c r="D203" s="20">
        <v>22800</v>
      </c>
      <c r="E203" s="20">
        <v>32550</v>
      </c>
      <c r="F203" s="20">
        <v>46700</v>
      </c>
      <c r="G203" s="14">
        <f t="shared" si="10"/>
        <v>-1.9138755980861233E-2</v>
      </c>
      <c r="H203" s="14">
        <f t="shared" si="10"/>
        <v>0</v>
      </c>
      <c r="I203" s="14">
        <f t="shared" si="10"/>
        <v>-2.5641025641025661E-2</v>
      </c>
      <c r="J203" s="14">
        <f t="shared" si="10"/>
        <v>6.8965517241379226E-2</v>
      </c>
      <c r="K203" s="14">
        <f t="shared" si="10"/>
        <v>1.7429193899782147E-2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5">
      <c r="A204" s="12">
        <v>44701</v>
      </c>
      <c r="B204" s="20">
        <v>20900</v>
      </c>
      <c r="C204" s="20">
        <v>37200</v>
      </c>
      <c r="D204" s="20">
        <v>23400</v>
      </c>
      <c r="E204" s="20">
        <v>30450</v>
      </c>
      <c r="F204" s="20">
        <v>45900</v>
      </c>
      <c r="G204" s="14">
        <f t="shared" si="10"/>
        <v>-4.761904761904745E-3</v>
      </c>
      <c r="H204" s="14">
        <f t="shared" si="10"/>
        <v>2.6954177897573484E-3</v>
      </c>
      <c r="I204" s="14">
        <f t="shared" si="10"/>
        <v>-8.4745762711864181E-3</v>
      </c>
      <c r="J204" s="14">
        <f t="shared" si="10"/>
        <v>-1.2965964343598091E-2</v>
      </c>
      <c r="K204" s="14">
        <f t="shared" si="10"/>
        <v>6.4965197215777204E-2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5">
      <c r="A205" s="12">
        <v>44700</v>
      </c>
      <c r="B205" s="20">
        <v>21000</v>
      </c>
      <c r="C205" s="20">
        <v>37100</v>
      </c>
      <c r="D205" s="20">
        <v>23600</v>
      </c>
      <c r="E205" s="20">
        <v>30850</v>
      </c>
      <c r="F205" s="20">
        <v>43100</v>
      </c>
      <c r="G205" s="14">
        <f t="shared" si="10"/>
        <v>2.4390243902439046E-2</v>
      </c>
      <c r="H205" s="14">
        <f t="shared" si="10"/>
        <v>-2.3684210526315752E-2</v>
      </c>
      <c r="I205" s="14">
        <f t="shared" si="10"/>
        <v>-4.2194092827003704E-3</v>
      </c>
      <c r="J205" s="14">
        <f t="shared" si="10"/>
        <v>3.350083752093802E-2</v>
      </c>
      <c r="K205" s="14">
        <f t="shared" si="10"/>
        <v>-5.7670126874279637E-3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5">
      <c r="A206" s="12">
        <v>44699</v>
      </c>
      <c r="B206" s="20">
        <v>20500</v>
      </c>
      <c r="C206" s="20">
        <v>38000</v>
      </c>
      <c r="D206" s="20">
        <v>23700</v>
      </c>
      <c r="E206" s="20">
        <v>29850</v>
      </c>
      <c r="F206" s="20">
        <v>43350</v>
      </c>
      <c r="G206" s="14">
        <f t="shared" si="10"/>
        <v>1.990049751243772E-2</v>
      </c>
      <c r="H206" s="14">
        <f t="shared" si="10"/>
        <v>-1.1703511053316018E-2</v>
      </c>
      <c r="I206" s="14">
        <f t="shared" si="10"/>
        <v>-2.8688524590163911E-2</v>
      </c>
      <c r="J206" s="14">
        <f t="shared" si="10"/>
        <v>-3.3388981636059967E-3</v>
      </c>
      <c r="K206" s="14">
        <f t="shared" si="10"/>
        <v>-1.1402508551881407E-2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5">
      <c r="A207" s="12">
        <v>44698</v>
      </c>
      <c r="B207" s="20">
        <v>20100</v>
      </c>
      <c r="C207" s="20">
        <v>38450</v>
      </c>
      <c r="D207" s="20">
        <v>24400</v>
      </c>
      <c r="E207" s="20">
        <v>29950</v>
      </c>
      <c r="F207" s="20">
        <v>43850</v>
      </c>
      <c r="G207" s="14">
        <f t="shared" si="10"/>
        <v>5.2356020942408321E-2</v>
      </c>
      <c r="H207" s="14">
        <f t="shared" si="10"/>
        <v>2.8074866310160429E-2</v>
      </c>
      <c r="I207" s="14">
        <f t="shared" si="10"/>
        <v>2.5210084033613356E-2</v>
      </c>
      <c r="J207" s="14">
        <f t="shared" si="10"/>
        <v>1.6977928692699429E-2</v>
      </c>
      <c r="K207" s="14">
        <f t="shared" si="10"/>
        <v>3.1764705882352917E-2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5">
      <c r="A208" s="12">
        <v>44697</v>
      </c>
      <c r="B208" s="20">
        <v>19100</v>
      </c>
      <c r="C208" s="20">
        <v>37400</v>
      </c>
      <c r="D208" s="20">
        <v>23800</v>
      </c>
      <c r="E208" s="20">
        <v>29450</v>
      </c>
      <c r="F208" s="20">
        <v>42500</v>
      </c>
      <c r="G208" s="14">
        <f t="shared" si="10"/>
        <v>2.1390374331550888E-2</v>
      </c>
      <c r="H208" s="14">
        <f t="shared" si="10"/>
        <v>2.1857923497267784E-2</v>
      </c>
      <c r="I208" s="14">
        <f t="shared" si="10"/>
        <v>7.6923076923076872E-2</v>
      </c>
      <c r="J208" s="14">
        <f t="shared" si="10"/>
        <v>8.5616438356164171E-3</v>
      </c>
      <c r="K208" s="14">
        <f t="shared" si="10"/>
        <v>1.9184652278177561E-2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35">
      <c r="A209" s="12">
        <v>44694</v>
      </c>
      <c r="B209" s="20">
        <v>18700</v>
      </c>
      <c r="C209" s="20">
        <v>36600</v>
      </c>
      <c r="D209" s="20">
        <v>22100</v>
      </c>
      <c r="E209" s="20">
        <v>29200</v>
      </c>
      <c r="F209" s="20">
        <v>41700</v>
      </c>
      <c r="G209" s="14">
        <f t="shared" si="10"/>
        <v>-5.3191489361702482E-3</v>
      </c>
      <c r="H209" s="14">
        <f t="shared" si="10"/>
        <v>0</v>
      </c>
      <c r="I209" s="14">
        <f t="shared" si="10"/>
        <v>9.9502487562189046E-2</v>
      </c>
      <c r="J209" s="14">
        <f t="shared" si="10"/>
        <v>3.4364261168384758E-3</v>
      </c>
      <c r="K209" s="14">
        <f t="shared" si="10"/>
        <v>-2.7972027972028024E-2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35">
      <c r="A210" s="12">
        <v>44693</v>
      </c>
      <c r="B210" s="20">
        <v>18800</v>
      </c>
      <c r="C210" s="20">
        <v>36600</v>
      </c>
      <c r="D210" s="20">
        <v>20100</v>
      </c>
      <c r="E210" s="20">
        <v>29100</v>
      </c>
      <c r="F210" s="20">
        <v>42900</v>
      </c>
      <c r="G210" s="14">
        <f t="shared" si="10"/>
        <v>5.6179775280898792E-2</v>
      </c>
      <c r="H210" s="14">
        <f t="shared" si="10"/>
        <v>1.9498607242339761E-2</v>
      </c>
      <c r="I210" s="14">
        <f t="shared" si="10"/>
        <v>9.8360655737705027E-2</v>
      </c>
      <c r="J210" s="14">
        <f t="shared" si="10"/>
        <v>1.3937282229965264E-2</v>
      </c>
      <c r="K210" s="14">
        <f t="shared" si="10"/>
        <v>2.1428571428571352E-2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35">
      <c r="A211" s="12">
        <v>44692</v>
      </c>
      <c r="B211" s="20">
        <v>17800</v>
      </c>
      <c r="C211" s="20">
        <v>35900</v>
      </c>
      <c r="D211" s="20">
        <v>18300</v>
      </c>
      <c r="E211" s="20">
        <v>28700</v>
      </c>
      <c r="F211" s="20">
        <v>42000</v>
      </c>
      <c r="G211" s="14">
        <f t="shared" si="10"/>
        <v>5.6497175141243527E-3</v>
      </c>
      <c r="H211" s="14">
        <f t="shared" si="10"/>
        <v>1.8439716312056653E-2</v>
      </c>
      <c r="I211" s="14">
        <f t="shared" si="10"/>
        <v>9.5808383233533023E-2</v>
      </c>
      <c r="J211" s="14">
        <f t="shared" si="10"/>
        <v>1.5929203539823078E-2</v>
      </c>
      <c r="K211" s="14">
        <f t="shared" si="10"/>
        <v>1.449275362318847E-2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35">
      <c r="A212" s="12">
        <v>44691</v>
      </c>
      <c r="B212" s="20">
        <v>17700</v>
      </c>
      <c r="C212" s="20">
        <v>35250</v>
      </c>
      <c r="D212" s="20">
        <v>16700</v>
      </c>
      <c r="E212" s="20">
        <v>28250</v>
      </c>
      <c r="F212" s="20">
        <v>41400</v>
      </c>
      <c r="G212" s="14">
        <f t="shared" si="10"/>
        <v>-5.6179775280899014E-3</v>
      </c>
      <c r="H212" s="14">
        <f t="shared" si="10"/>
        <v>2.8449502133711668E-3</v>
      </c>
      <c r="I212" s="14">
        <f t="shared" si="10"/>
        <v>4.3749999999999956E-2</v>
      </c>
      <c r="J212" s="14">
        <f t="shared" si="10"/>
        <v>-1.0507880910682998E-2</v>
      </c>
      <c r="K212" s="14">
        <f t="shared" si="10"/>
        <v>-4.8076923076922906E-3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5">
      <c r="A213" s="12">
        <v>44690</v>
      </c>
      <c r="B213" s="20">
        <v>17800</v>
      </c>
      <c r="C213" s="20">
        <v>35150</v>
      </c>
      <c r="D213" s="20">
        <v>16000</v>
      </c>
      <c r="E213" s="20">
        <v>28550</v>
      </c>
      <c r="F213" s="20">
        <v>41600</v>
      </c>
      <c r="G213" s="14">
        <f t="shared" si="10"/>
        <v>0</v>
      </c>
      <c r="H213" s="14">
        <f t="shared" si="10"/>
        <v>-4.2492917847025691E-3</v>
      </c>
      <c r="I213" s="14">
        <f t="shared" si="10"/>
        <v>3.8961038961038863E-2</v>
      </c>
      <c r="J213" s="14">
        <f t="shared" si="10"/>
        <v>-8.6805555555555802E-3</v>
      </c>
      <c r="K213" s="14">
        <f t="shared" si="10"/>
        <v>-9.52380952380949E-3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35">
      <c r="A214" s="12">
        <v>44687</v>
      </c>
      <c r="B214" s="20">
        <v>17800</v>
      </c>
      <c r="C214" s="20">
        <v>35300</v>
      </c>
      <c r="D214" s="20">
        <v>15400</v>
      </c>
      <c r="E214" s="20">
        <v>28800</v>
      </c>
      <c r="F214" s="20">
        <v>42000</v>
      </c>
      <c r="G214" s="14">
        <f t="shared" si="10"/>
        <v>9.8765432098765427E-2</v>
      </c>
      <c r="H214" s="14">
        <f t="shared" si="10"/>
        <v>-2.8248587570621764E-3</v>
      </c>
      <c r="I214" s="14">
        <f t="shared" si="10"/>
        <v>2.6666666666666616E-2</v>
      </c>
      <c r="J214" s="14">
        <f t="shared" si="10"/>
        <v>-1.538461538461533E-2</v>
      </c>
      <c r="K214" s="14">
        <f t="shared" si="10"/>
        <v>-1.8691588785046731E-2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35">
      <c r="A215" s="12">
        <v>44686</v>
      </c>
      <c r="B215" s="20">
        <v>16200</v>
      </c>
      <c r="C215" s="20">
        <v>35400</v>
      </c>
      <c r="D215" s="20">
        <v>15000</v>
      </c>
      <c r="E215" s="20">
        <v>29250</v>
      </c>
      <c r="F215" s="20">
        <v>42800</v>
      </c>
      <c r="G215" s="14">
        <f t="shared" si="10"/>
        <v>1.2499999999999956E-2</v>
      </c>
      <c r="H215" s="14">
        <f t="shared" si="10"/>
        <v>1.5781922525107683E-2</v>
      </c>
      <c r="I215" s="14">
        <f t="shared" si="10"/>
        <v>3.4482758620689724E-2</v>
      </c>
      <c r="J215" s="14">
        <f t="shared" si="10"/>
        <v>3.7234042553191404E-2</v>
      </c>
      <c r="K215" s="14">
        <f t="shared" si="10"/>
        <v>1.4218009478673022E-2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35">
      <c r="A216" s="12">
        <v>44685</v>
      </c>
      <c r="B216" s="20">
        <v>16000</v>
      </c>
      <c r="C216" s="20">
        <v>34850</v>
      </c>
      <c r="D216" s="20">
        <v>14500</v>
      </c>
      <c r="E216" s="20">
        <v>28200</v>
      </c>
      <c r="F216" s="20">
        <v>42200</v>
      </c>
      <c r="G216" s="14">
        <f t="shared" si="10"/>
        <v>-6.2111801242236142E-3</v>
      </c>
      <c r="H216" s="14">
        <f t="shared" si="10"/>
        <v>-2.5174825174825166E-2</v>
      </c>
      <c r="I216" s="14">
        <f t="shared" si="10"/>
        <v>-6.8493150684931781E-3</v>
      </c>
      <c r="J216" s="14">
        <f t="shared" si="10"/>
        <v>-4.4067796610169463E-2</v>
      </c>
      <c r="K216" s="14">
        <f t="shared" si="10"/>
        <v>-3.4324942791762014E-2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5">
      <c r="A217" s="12">
        <v>44680</v>
      </c>
      <c r="B217" s="20">
        <v>16100</v>
      </c>
      <c r="C217" s="20">
        <v>35750</v>
      </c>
      <c r="D217" s="20">
        <v>14600</v>
      </c>
      <c r="E217" s="20">
        <v>29500</v>
      </c>
      <c r="F217" s="20">
        <v>43700</v>
      </c>
      <c r="G217" s="14">
        <f t="shared" si="10"/>
        <v>-1.2269938650306789E-2</v>
      </c>
      <c r="H217" s="14">
        <f t="shared" si="10"/>
        <v>1.5625E-2</v>
      </c>
      <c r="I217" s="14">
        <f t="shared" si="10"/>
        <v>-3.9473684210526327E-2</v>
      </c>
      <c r="J217" s="14">
        <f t="shared" si="10"/>
        <v>0</v>
      </c>
      <c r="K217" s="14">
        <f t="shared" si="10"/>
        <v>-2.0179372197309364E-2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35">
      <c r="A218" s="12">
        <v>44679</v>
      </c>
      <c r="B218" s="20">
        <v>16300</v>
      </c>
      <c r="C218" s="20">
        <v>35200</v>
      </c>
      <c r="D218" s="20">
        <v>15200</v>
      </c>
      <c r="E218" s="20">
        <v>29500</v>
      </c>
      <c r="F218" s="20">
        <v>44600</v>
      </c>
      <c r="G218" s="14">
        <f t="shared" si="10"/>
        <v>-6.0975609756097615E-3</v>
      </c>
      <c r="H218" s="14">
        <f t="shared" si="10"/>
        <v>-5.6497175141242417E-3</v>
      </c>
      <c r="I218" s="14">
        <f t="shared" si="10"/>
        <v>2.7027027027026973E-2</v>
      </c>
      <c r="J218" s="14">
        <f t="shared" si="10"/>
        <v>-2.3178807947019875E-2</v>
      </c>
      <c r="K218" s="14">
        <f t="shared" si="10"/>
        <v>4.4496487119437989E-2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35">
      <c r="A219" s="12">
        <v>44678</v>
      </c>
      <c r="B219" s="20">
        <v>16400</v>
      </c>
      <c r="C219" s="20">
        <v>35400</v>
      </c>
      <c r="D219" s="20">
        <v>14800</v>
      </c>
      <c r="E219" s="20">
        <v>30200</v>
      </c>
      <c r="F219" s="20">
        <v>42700</v>
      </c>
      <c r="G219" s="14">
        <f t="shared" si="10"/>
        <v>1.8633540372670732E-2</v>
      </c>
      <c r="H219" s="14">
        <f t="shared" si="10"/>
        <v>1.4144271570013522E-3</v>
      </c>
      <c r="I219" s="14">
        <f t="shared" si="10"/>
        <v>4.2253521126760507E-2</v>
      </c>
      <c r="J219" s="14">
        <f t="shared" si="10"/>
        <v>-2.7375201288244777E-2</v>
      </c>
      <c r="K219" s="14">
        <f t="shared" si="10"/>
        <v>-2.9545454545454541E-2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35">
      <c r="A220" s="12">
        <v>44677</v>
      </c>
      <c r="B220" s="20">
        <v>16100</v>
      </c>
      <c r="C220" s="20">
        <v>35350</v>
      </c>
      <c r="D220" s="20">
        <v>14200</v>
      </c>
      <c r="E220" s="20">
        <v>31050</v>
      </c>
      <c r="F220" s="20">
        <v>44000</v>
      </c>
      <c r="G220" s="14">
        <f t="shared" si="10"/>
        <v>6.2500000000000888E-3</v>
      </c>
      <c r="H220" s="14">
        <f t="shared" si="10"/>
        <v>-1.5320334261838431E-2</v>
      </c>
      <c r="I220" s="14">
        <f t="shared" si="10"/>
        <v>5.9701492537313383E-2</v>
      </c>
      <c r="J220" s="14">
        <f t="shared" si="10"/>
        <v>4.8543689320388328E-3</v>
      </c>
      <c r="K220" s="14">
        <f t="shared" si="10"/>
        <v>-2.0044543429844075E-2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5">
      <c r="A221" s="12">
        <v>44676</v>
      </c>
      <c r="B221" s="20">
        <v>16000</v>
      </c>
      <c r="C221" s="20">
        <v>35900</v>
      </c>
      <c r="D221" s="20">
        <v>13400</v>
      </c>
      <c r="E221" s="20">
        <v>30900</v>
      </c>
      <c r="F221" s="20">
        <v>44900</v>
      </c>
      <c r="G221" s="14">
        <f t="shared" ref="G221:K271" si="11">B221/B222-1</f>
        <v>0</v>
      </c>
      <c r="H221" s="14">
        <f t="shared" si="11"/>
        <v>-1.7783857729138153E-2</v>
      </c>
      <c r="I221" s="14">
        <f t="shared" si="11"/>
        <v>-2.8985507246376829E-2</v>
      </c>
      <c r="J221" s="14">
        <f t="shared" si="11"/>
        <v>-9.6153846153845812E-3</v>
      </c>
      <c r="K221" s="14">
        <f t="shared" si="11"/>
        <v>-3.3369214208826659E-2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35">
      <c r="A222" s="12">
        <v>44673</v>
      </c>
      <c r="B222" s="20">
        <v>16000</v>
      </c>
      <c r="C222" s="20">
        <v>36550</v>
      </c>
      <c r="D222" s="20">
        <v>13800</v>
      </c>
      <c r="E222" s="20">
        <v>31200</v>
      </c>
      <c r="F222" s="20">
        <v>46450</v>
      </c>
      <c r="G222" s="14">
        <f t="shared" si="11"/>
        <v>1.9108280254777066E-2</v>
      </c>
      <c r="H222" s="14">
        <f t="shared" si="11"/>
        <v>0</v>
      </c>
      <c r="I222" s="14">
        <f t="shared" si="11"/>
        <v>-1.4285714285714235E-2</v>
      </c>
      <c r="J222" s="14">
        <f t="shared" si="11"/>
        <v>4.6979865771812124E-2</v>
      </c>
      <c r="K222" s="14">
        <f t="shared" si="11"/>
        <v>5.4112554112553113E-3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35">
      <c r="A223" s="12">
        <v>44672</v>
      </c>
      <c r="B223" s="20">
        <v>15700</v>
      </c>
      <c r="C223" s="20">
        <v>36550</v>
      </c>
      <c r="D223" s="20">
        <v>14000</v>
      </c>
      <c r="E223" s="20">
        <v>29800</v>
      </c>
      <c r="F223" s="20">
        <v>46200</v>
      </c>
      <c r="G223" s="14">
        <f t="shared" si="11"/>
        <v>-1.2578616352201255E-2</v>
      </c>
      <c r="H223" s="14">
        <f t="shared" si="11"/>
        <v>2.3809523809523725E-2</v>
      </c>
      <c r="I223" s="14">
        <f t="shared" si="11"/>
        <v>-7.0921985815602939E-3</v>
      </c>
      <c r="J223" s="14">
        <f t="shared" si="11"/>
        <v>6.7567567567567988E-3</v>
      </c>
      <c r="K223" s="14">
        <f t="shared" si="11"/>
        <v>2.6666666666666616E-2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35">
      <c r="A224" s="12">
        <v>44671</v>
      </c>
      <c r="B224" s="20">
        <v>15900</v>
      </c>
      <c r="C224" s="20">
        <v>35700</v>
      </c>
      <c r="D224" s="20">
        <v>14100</v>
      </c>
      <c r="E224" s="20">
        <v>29600</v>
      </c>
      <c r="F224" s="20">
        <v>45000</v>
      </c>
      <c r="G224" s="14">
        <f t="shared" si="11"/>
        <v>3.2467532467532534E-2</v>
      </c>
      <c r="H224" s="14">
        <f t="shared" si="11"/>
        <v>0</v>
      </c>
      <c r="I224" s="14">
        <f t="shared" si="11"/>
        <v>5.2238805970149294E-2</v>
      </c>
      <c r="J224" s="14">
        <f t="shared" si="11"/>
        <v>3.3898305084745228E-3</v>
      </c>
      <c r="K224" s="14">
        <f t="shared" si="11"/>
        <v>1.1235955056179803E-2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35">
      <c r="A225" s="12">
        <v>44670</v>
      </c>
      <c r="B225" s="20">
        <v>15400</v>
      </c>
      <c r="C225" s="20">
        <v>35700</v>
      </c>
      <c r="D225" s="20">
        <v>13400</v>
      </c>
      <c r="E225" s="20">
        <v>29500</v>
      </c>
      <c r="F225" s="20">
        <v>44500</v>
      </c>
      <c r="G225" s="14">
        <f t="shared" si="11"/>
        <v>2.6666666666666616E-2</v>
      </c>
      <c r="H225" s="14">
        <f t="shared" si="11"/>
        <v>2.0000000000000018E-2</v>
      </c>
      <c r="I225" s="14">
        <f t="shared" si="11"/>
        <v>4.6875E-2</v>
      </c>
      <c r="J225" s="14">
        <f t="shared" si="11"/>
        <v>-5.0590219224283528E-3</v>
      </c>
      <c r="K225" s="14">
        <f t="shared" si="11"/>
        <v>6.2052505966587068E-2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5">
      <c r="A226" s="12">
        <v>44669</v>
      </c>
      <c r="B226" s="20">
        <v>15000</v>
      </c>
      <c r="C226" s="20">
        <v>35000</v>
      </c>
      <c r="D226" s="20">
        <v>12800</v>
      </c>
      <c r="E226" s="20">
        <v>29650</v>
      </c>
      <c r="F226" s="20">
        <v>41900</v>
      </c>
      <c r="G226" s="14">
        <f t="shared" si="11"/>
        <v>-2.5974025974025983E-2</v>
      </c>
      <c r="H226" s="14">
        <f t="shared" si="11"/>
        <v>-3.4482758620689613E-2</v>
      </c>
      <c r="I226" s="14">
        <f t="shared" si="11"/>
        <v>-3.0303030303030276E-2</v>
      </c>
      <c r="J226" s="14">
        <f t="shared" si="11"/>
        <v>-2.4671052631578982E-2</v>
      </c>
      <c r="K226" s="14">
        <f t="shared" si="11"/>
        <v>-1.1792452830188704E-2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35">
      <c r="A227" s="12">
        <v>44666</v>
      </c>
      <c r="B227" s="20">
        <v>15400</v>
      </c>
      <c r="C227" s="20">
        <v>36250</v>
      </c>
      <c r="D227" s="20">
        <v>13200</v>
      </c>
      <c r="E227" s="20">
        <v>30400</v>
      </c>
      <c r="F227" s="20">
        <v>42400</v>
      </c>
      <c r="G227" s="14">
        <f t="shared" si="11"/>
        <v>6.5359477124182774E-3</v>
      </c>
      <c r="H227" s="14">
        <f t="shared" si="11"/>
        <v>-9.5628415300545999E-3</v>
      </c>
      <c r="I227" s="14">
        <f t="shared" si="11"/>
        <v>3.125E-2</v>
      </c>
      <c r="J227" s="14">
        <f t="shared" si="11"/>
        <v>3.3003300330032292E-3</v>
      </c>
      <c r="K227" s="14">
        <f t="shared" si="11"/>
        <v>3.4146341463414664E-2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5">
      <c r="A228" s="12">
        <v>44665</v>
      </c>
      <c r="B228" s="20">
        <v>15300</v>
      </c>
      <c r="C228" s="20">
        <v>36600</v>
      </c>
      <c r="D228" s="20">
        <v>12800</v>
      </c>
      <c r="E228" s="20">
        <v>30300</v>
      </c>
      <c r="F228" s="20">
        <v>41000</v>
      </c>
      <c r="G228" s="14">
        <f t="shared" si="11"/>
        <v>-1.2903225806451646E-2</v>
      </c>
      <c r="H228" s="14">
        <f t="shared" si="11"/>
        <v>2.8089887640449396E-2</v>
      </c>
      <c r="I228" s="14">
        <f t="shared" si="11"/>
        <v>6.6666666666666652E-2</v>
      </c>
      <c r="J228" s="14">
        <f t="shared" si="11"/>
        <v>-9.8039215686274161E-3</v>
      </c>
      <c r="K228" s="14">
        <f t="shared" si="11"/>
        <v>-6.0606060606060996E-3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35">
      <c r="A229" s="12">
        <v>44664</v>
      </c>
      <c r="B229" s="20">
        <v>15500</v>
      </c>
      <c r="C229" s="20">
        <v>35600</v>
      </c>
      <c r="D229" s="20">
        <v>12000</v>
      </c>
      <c r="E229" s="20">
        <v>30600</v>
      </c>
      <c r="F229" s="20">
        <v>41250</v>
      </c>
      <c r="G229" s="14">
        <f t="shared" si="11"/>
        <v>6.4935064935065512E-3</v>
      </c>
      <c r="H229" s="14">
        <f t="shared" si="11"/>
        <v>-1.5214384508990264E-2</v>
      </c>
      <c r="I229" s="14">
        <f t="shared" si="11"/>
        <v>6.1946902654867353E-2</v>
      </c>
      <c r="J229" s="14">
        <f t="shared" si="11"/>
        <v>8.2372322899506578E-3</v>
      </c>
      <c r="K229" s="14">
        <f t="shared" si="11"/>
        <v>8.5574572127138371E-3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35">
      <c r="A230" s="12">
        <v>44663</v>
      </c>
      <c r="B230" s="20">
        <v>15400</v>
      </c>
      <c r="C230" s="20">
        <v>36150</v>
      </c>
      <c r="D230" s="20">
        <v>11300</v>
      </c>
      <c r="E230" s="20">
        <v>30350</v>
      </c>
      <c r="F230" s="20">
        <v>40900</v>
      </c>
      <c r="G230" s="14">
        <f t="shared" si="11"/>
        <v>0</v>
      </c>
      <c r="H230" s="14">
        <f t="shared" si="11"/>
        <v>-3.7283621837549963E-2</v>
      </c>
      <c r="I230" s="14">
        <f t="shared" si="11"/>
        <v>-8.7719298245614308E-3</v>
      </c>
      <c r="J230" s="14">
        <f t="shared" si="11"/>
        <v>-1.4610389610389629E-2</v>
      </c>
      <c r="K230" s="14">
        <f t="shared" si="11"/>
        <v>-1.918465227817745E-2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35">
      <c r="A231" s="12">
        <v>44659</v>
      </c>
      <c r="B231" s="20">
        <v>15400</v>
      </c>
      <c r="C231" s="20">
        <v>37550</v>
      </c>
      <c r="D231" s="20">
        <v>11400</v>
      </c>
      <c r="E231" s="20">
        <v>30800</v>
      </c>
      <c r="F231" s="20">
        <v>41700</v>
      </c>
      <c r="G231" s="14">
        <f t="shared" si="11"/>
        <v>4.7619047619047672E-2</v>
      </c>
      <c r="H231" s="14">
        <f t="shared" si="11"/>
        <v>6.7024128686326012E-3</v>
      </c>
      <c r="I231" s="14">
        <f t="shared" si="11"/>
        <v>0</v>
      </c>
      <c r="J231" s="14">
        <f t="shared" si="11"/>
        <v>0</v>
      </c>
      <c r="K231" s="14">
        <f t="shared" si="11"/>
        <v>5.7034220532319324E-2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35">
      <c r="A232" s="12">
        <v>44658</v>
      </c>
      <c r="B232" s="20">
        <v>14700</v>
      </c>
      <c r="C232" s="20">
        <v>37300</v>
      </c>
      <c r="D232" s="20">
        <v>11400</v>
      </c>
      <c r="E232" s="20">
        <v>30800</v>
      </c>
      <c r="F232" s="20">
        <v>39450</v>
      </c>
      <c r="G232" s="14">
        <f t="shared" si="11"/>
        <v>-1.3422818791946289E-2</v>
      </c>
      <c r="H232" s="14">
        <f t="shared" si="11"/>
        <v>-1.5831134564643801E-2</v>
      </c>
      <c r="I232" s="14">
        <f t="shared" si="11"/>
        <v>4.587155963302747E-2</v>
      </c>
      <c r="J232" s="14">
        <f t="shared" si="11"/>
        <v>1.1494252873563315E-2</v>
      </c>
      <c r="K232" s="14">
        <f t="shared" si="11"/>
        <v>3.8167938931297218E-3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5">
      <c r="A233" s="12">
        <v>44657</v>
      </c>
      <c r="B233" s="20">
        <v>14900</v>
      </c>
      <c r="C233" s="20">
        <v>37900</v>
      </c>
      <c r="D233" s="20">
        <v>10900</v>
      </c>
      <c r="E233" s="20">
        <v>30450</v>
      </c>
      <c r="F233" s="20">
        <v>39300</v>
      </c>
      <c r="G233" s="14">
        <f t="shared" si="11"/>
        <v>1.3605442176870763E-2</v>
      </c>
      <c r="H233" s="14">
        <f t="shared" si="11"/>
        <v>4.8409405255878335E-2</v>
      </c>
      <c r="I233" s="14">
        <f t="shared" si="11"/>
        <v>-9.0909090909090384E-3</v>
      </c>
      <c r="J233" s="14">
        <f t="shared" si="11"/>
        <v>4.9504950495049549E-3</v>
      </c>
      <c r="K233" s="14">
        <f t="shared" si="11"/>
        <v>1.0282776349614497E-2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35">
      <c r="A234" s="12">
        <v>44656</v>
      </c>
      <c r="B234" s="20">
        <v>14700</v>
      </c>
      <c r="C234" s="20">
        <v>36150</v>
      </c>
      <c r="D234" s="20">
        <v>11000</v>
      </c>
      <c r="E234" s="20">
        <v>30300</v>
      </c>
      <c r="F234" s="20">
        <v>38900</v>
      </c>
      <c r="G234" s="14">
        <f t="shared" si="11"/>
        <v>-2.0000000000000018E-2</v>
      </c>
      <c r="H234" s="14">
        <f t="shared" si="11"/>
        <v>-1.3812154696132284E-3</v>
      </c>
      <c r="I234" s="14">
        <f t="shared" si="11"/>
        <v>-9.009009009009028E-3</v>
      </c>
      <c r="J234" s="14">
        <f t="shared" si="11"/>
        <v>2.020202020202011E-2</v>
      </c>
      <c r="K234" s="14">
        <f t="shared" si="11"/>
        <v>-7.6530612244898322E-3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35">
      <c r="A235" s="12">
        <v>44655</v>
      </c>
      <c r="B235" s="20">
        <v>15000</v>
      </c>
      <c r="C235" s="20">
        <v>36200</v>
      </c>
      <c r="D235" s="20">
        <v>11100</v>
      </c>
      <c r="E235" s="20">
        <v>29700</v>
      </c>
      <c r="F235" s="20">
        <v>39200</v>
      </c>
      <c r="G235" s="14">
        <f t="shared" si="11"/>
        <v>-6.6225165562914245E-3</v>
      </c>
      <c r="H235" s="14">
        <f t="shared" si="11"/>
        <v>-2.7548209366391463E-3</v>
      </c>
      <c r="I235" s="14">
        <f t="shared" si="11"/>
        <v>0</v>
      </c>
      <c r="J235" s="14">
        <f t="shared" si="11"/>
        <v>2.0618556701030855E-2</v>
      </c>
      <c r="K235" s="14">
        <f t="shared" si="11"/>
        <v>7.7120822622107621E-3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35">
      <c r="A236" s="12">
        <v>44652</v>
      </c>
      <c r="B236" s="20">
        <v>15100</v>
      </c>
      <c r="C236" s="20">
        <v>36300</v>
      </c>
      <c r="D236" s="20">
        <v>11100</v>
      </c>
      <c r="E236" s="20">
        <v>29100</v>
      </c>
      <c r="F236" s="20">
        <v>38900</v>
      </c>
      <c r="G236" s="14">
        <f t="shared" si="11"/>
        <v>-6.5789473684210176E-3</v>
      </c>
      <c r="H236" s="14">
        <f t="shared" si="11"/>
        <v>6.9219440353460948E-2</v>
      </c>
      <c r="I236" s="14">
        <f t="shared" si="11"/>
        <v>0</v>
      </c>
      <c r="J236" s="14">
        <f t="shared" si="11"/>
        <v>1.7482517482517501E-2</v>
      </c>
      <c r="K236" s="14">
        <f t="shared" si="11"/>
        <v>-2.1383647798742134E-2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35">
      <c r="A237" s="12">
        <v>44651</v>
      </c>
      <c r="B237" s="20">
        <v>15200</v>
      </c>
      <c r="C237" s="20">
        <v>33950</v>
      </c>
      <c r="D237" s="20">
        <v>11100</v>
      </c>
      <c r="E237" s="20">
        <v>28600</v>
      </c>
      <c r="F237" s="20">
        <v>39750</v>
      </c>
      <c r="G237" s="14">
        <f t="shared" si="11"/>
        <v>2.0134228187919545E-2</v>
      </c>
      <c r="H237" s="14">
        <f t="shared" si="11"/>
        <v>2.9542097488921559E-3</v>
      </c>
      <c r="I237" s="14">
        <f t="shared" si="11"/>
        <v>0</v>
      </c>
      <c r="J237" s="14">
        <f t="shared" si="11"/>
        <v>0</v>
      </c>
      <c r="K237" s="14">
        <f t="shared" si="11"/>
        <v>-3.7593984962406291E-3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35">
      <c r="A238" s="12">
        <v>44650</v>
      </c>
      <c r="B238" s="20">
        <v>14900</v>
      </c>
      <c r="C238" s="20">
        <v>33850</v>
      </c>
      <c r="D238" s="20">
        <v>11100</v>
      </c>
      <c r="E238" s="20">
        <v>28600</v>
      </c>
      <c r="F238" s="20">
        <v>39900</v>
      </c>
      <c r="G238" s="14">
        <f t="shared" si="11"/>
        <v>6.7567567567567988E-3</v>
      </c>
      <c r="H238" s="14">
        <f t="shared" si="11"/>
        <v>-8.7847730600292273E-3</v>
      </c>
      <c r="I238" s="14">
        <f t="shared" si="11"/>
        <v>0</v>
      </c>
      <c r="J238" s="14">
        <f t="shared" si="11"/>
        <v>-3.4843205574912606E-3</v>
      </c>
      <c r="K238" s="14">
        <f t="shared" si="11"/>
        <v>6.3051702395964249E-3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35">
      <c r="A239" s="12">
        <v>44649</v>
      </c>
      <c r="B239" s="20">
        <v>14800</v>
      </c>
      <c r="C239" s="20">
        <v>34150</v>
      </c>
      <c r="D239" s="20">
        <v>11100</v>
      </c>
      <c r="E239" s="20">
        <v>28700</v>
      </c>
      <c r="F239" s="20">
        <v>39650</v>
      </c>
      <c r="G239" s="14">
        <f t="shared" si="11"/>
        <v>0</v>
      </c>
      <c r="H239" s="14">
        <f t="shared" si="11"/>
        <v>-1.0144927536231862E-2</v>
      </c>
      <c r="I239" s="14">
        <f t="shared" si="11"/>
        <v>-8.9285714285713969E-3</v>
      </c>
      <c r="J239" s="14">
        <f t="shared" si="11"/>
        <v>3.4965034965035446E-3</v>
      </c>
      <c r="K239" s="14">
        <f t="shared" si="11"/>
        <v>3.7958115183245988E-2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35">
      <c r="A240" s="12">
        <v>44648</v>
      </c>
      <c r="B240" s="20">
        <v>14800</v>
      </c>
      <c r="C240" s="20">
        <v>34500</v>
      </c>
      <c r="D240" s="20">
        <v>11200</v>
      </c>
      <c r="E240" s="20">
        <v>28600</v>
      </c>
      <c r="F240" s="20">
        <v>38200</v>
      </c>
      <c r="G240" s="14">
        <f t="shared" si="11"/>
        <v>-5.7324840764331197E-2</v>
      </c>
      <c r="H240" s="14">
        <f t="shared" si="11"/>
        <v>3.9156626506024139E-2</v>
      </c>
      <c r="I240" s="14">
        <f t="shared" si="11"/>
        <v>0</v>
      </c>
      <c r="J240" s="14">
        <f t="shared" si="11"/>
        <v>3.5087719298245723E-3</v>
      </c>
      <c r="K240" s="14">
        <f t="shared" si="11"/>
        <v>2.826379542395685E-2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35">
      <c r="A241" s="12">
        <v>44645</v>
      </c>
      <c r="B241" s="20">
        <v>15700</v>
      </c>
      <c r="C241" s="20">
        <v>33200</v>
      </c>
      <c r="D241" s="20">
        <v>11200</v>
      </c>
      <c r="E241" s="20">
        <v>28500</v>
      </c>
      <c r="F241" s="20">
        <v>37150</v>
      </c>
      <c r="G241" s="14">
        <f t="shared" si="11"/>
        <v>0</v>
      </c>
      <c r="H241" s="14">
        <f t="shared" si="11"/>
        <v>0</v>
      </c>
      <c r="I241" s="14">
        <f t="shared" si="11"/>
        <v>0</v>
      </c>
      <c r="J241" s="14">
        <f t="shared" si="11"/>
        <v>-1.041666666666663E-2</v>
      </c>
      <c r="K241" s="14">
        <f t="shared" si="11"/>
        <v>-6.6844919786096524E-3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35">
      <c r="A242" s="12">
        <v>44644</v>
      </c>
      <c r="B242" s="20">
        <v>15700</v>
      </c>
      <c r="C242" s="20">
        <v>33200</v>
      </c>
      <c r="D242" s="20">
        <v>11200</v>
      </c>
      <c r="E242" s="20">
        <v>28800</v>
      </c>
      <c r="F242" s="20">
        <v>37400</v>
      </c>
      <c r="G242" s="14">
        <f t="shared" si="11"/>
        <v>6.4102564102563875E-3</v>
      </c>
      <c r="H242" s="14">
        <f t="shared" si="11"/>
        <v>0</v>
      </c>
      <c r="I242" s="14">
        <f t="shared" si="11"/>
        <v>2.7522935779816571E-2</v>
      </c>
      <c r="J242" s="14">
        <f t="shared" si="11"/>
        <v>-6.8965517241379448E-3</v>
      </c>
      <c r="K242" s="14">
        <f t="shared" si="11"/>
        <v>-1.0582010582010581E-2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35">
      <c r="A243" s="12">
        <v>44643</v>
      </c>
      <c r="B243" s="20">
        <v>15600</v>
      </c>
      <c r="C243" s="20">
        <v>33200</v>
      </c>
      <c r="D243" s="20">
        <v>10900</v>
      </c>
      <c r="E243" s="20">
        <v>29000</v>
      </c>
      <c r="F243" s="20">
        <v>37800</v>
      </c>
      <c r="G243" s="14">
        <f t="shared" si="11"/>
        <v>5.4054054054053946E-2</v>
      </c>
      <c r="H243" s="14">
        <f t="shared" si="11"/>
        <v>1.2195121951219523E-2</v>
      </c>
      <c r="I243" s="14">
        <f t="shared" si="11"/>
        <v>9.2592592592593004E-3</v>
      </c>
      <c r="J243" s="14">
        <f t="shared" si="11"/>
        <v>6.9444444444444198E-3</v>
      </c>
      <c r="K243" s="14">
        <f t="shared" si="11"/>
        <v>2.4390243902439046E-2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35">
      <c r="A244" s="12">
        <v>44642</v>
      </c>
      <c r="B244" s="20">
        <v>14800</v>
      </c>
      <c r="C244" s="20">
        <v>32800</v>
      </c>
      <c r="D244" s="20">
        <v>10800</v>
      </c>
      <c r="E244" s="20">
        <v>28800</v>
      </c>
      <c r="F244" s="20">
        <v>36900</v>
      </c>
      <c r="G244" s="14">
        <f t="shared" si="11"/>
        <v>-1.9867549668874163E-2</v>
      </c>
      <c r="H244" s="14">
        <f t="shared" si="11"/>
        <v>-1.9431988041853532E-2</v>
      </c>
      <c r="I244" s="14">
        <f t="shared" si="11"/>
        <v>0</v>
      </c>
      <c r="J244" s="14">
        <f t="shared" si="11"/>
        <v>-1.0309278350515427E-2</v>
      </c>
      <c r="K244" s="14">
        <f t="shared" si="11"/>
        <v>-2.8947368421052611E-2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35">
      <c r="A245" s="12">
        <v>44641</v>
      </c>
      <c r="B245" s="20">
        <v>15100</v>
      </c>
      <c r="C245" s="20">
        <v>33450</v>
      </c>
      <c r="D245" s="20">
        <v>10800</v>
      </c>
      <c r="E245" s="20">
        <v>29100</v>
      </c>
      <c r="F245" s="20">
        <v>38000</v>
      </c>
      <c r="G245" s="14">
        <f t="shared" si="11"/>
        <v>1.3422818791946289E-2</v>
      </c>
      <c r="H245" s="14">
        <f t="shared" si="11"/>
        <v>7.5301204819278045E-3</v>
      </c>
      <c r="I245" s="14">
        <f t="shared" si="11"/>
        <v>-9.1743119266054496E-3</v>
      </c>
      <c r="J245" s="14">
        <f t="shared" si="11"/>
        <v>0</v>
      </c>
      <c r="K245" s="14">
        <f t="shared" si="11"/>
        <v>1.6042780748663166E-2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35">
      <c r="A246" s="12">
        <v>44638</v>
      </c>
      <c r="B246" s="20">
        <v>14900</v>
      </c>
      <c r="C246" s="20">
        <v>33200</v>
      </c>
      <c r="D246" s="20">
        <v>10900</v>
      </c>
      <c r="E246" s="20">
        <v>29100</v>
      </c>
      <c r="F246" s="20">
        <v>37400</v>
      </c>
      <c r="G246" s="14">
        <f t="shared" si="11"/>
        <v>-6.6666666666667096E-3</v>
      </c>
      <c r="H246" s="14">
        <f t="shared" si="11"/>
        <v>-3.0030030030030463E-3</v>
      </c>
      <c r="I246" s="14">
        <f t="shared" si="11"/>
        <v>0</v>
      </c>
      <c r="J246" s="14">
        <f t="shared" si="11"/>
        <v>-6.8259385665528916E-3</v>
      </c>
      <c r="K246" s="14">
        <f t="shared" si="11"/>
        <v>1.3550135501354976E-2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35">
      <c r="A247" s="12">
        <v>44637</v>
      </c>
      <c r="B247" s="20">
        <v>15000</v>
      </c>
      <c r="C247" s="20">
        <v>33300</v>
      </c>
      <c r="D247" s="20">
        <v>10900</v>
      </c>
      <c r="E247" s="20">
        <v>29300</v>
      </c>
      <c r="F247" s="20">
        <v>36900</v>
      </c>
      <c r="G247" s="14">
        <f t="shared" si="11"/>
        <v>4.8951048951048959E-2</v>
      </c>
      <c r="H247" s="14">
        <f t="shared" si="11"/>
        <v>1.8348623853210899E-2</v>
      </c>
      <c r="I247" s="14">
        <f t="shared" si="11"/>
        <v>9.2592592592593004E-3</v>
      </c>
      <c r="J247" s="14">
        <f t="shared" si="11"/>
        <v>-6.7796610169491567E-3</v>
      </c>
      <c r="K247" s="14">
        <f t="shared" si="11"/>
        <v>2.4999999999999911E-2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35">
      <c r="A248" s="12">
        <v>44636</v>
      </c>
      <c r="B248" s="20">
        <v>14300</v>
      </c>
      <c r="C248" s="20">
        <v>32700</v>
      </c>
      <c r="D248" s="20">
        <v>10800</v>
      </c>
      <c r="E248" s="20">
        <v>29500</v>
      </c>
      <c r="F248" s="20">
        <v>36000</v>
      </c>
      <c r="G248" s="14">
        <f t="shared" si="11"/>
        <v>4.3795620437956151E-2</v>
      </c>
      <c r="H248" s="14">
        <f t="shared" si="11"/>
        <v>-2.0958083832335328E-2</v>
      </c>
      <c r="I248" s="14">
        <f t="shared" si="11"/>
        <v>1.8867924528301883E-2</v>
      </c>
      <c r="J248" s="14">
        <f t="shared" si="11"/>
        <v>-3.3783783783783994E-3</v>
      </c>
      <c r="K248" s="14">
        <f t="shared" si="11"/>
        <v>-1.6393442622950838E-2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35">
      <c r="A249" s="12">
        <v>44635</v>
      </c>
      <c r="B249" s="20">
        <v>13700</v>
      </c>
      <c r="C249" s="20">
        <v>33400</v>
      </c>
      <c r="D249" s="20">
        <v>10600</v>
      </c>
      <c r="E249" s="20">
        <v>29600</v>
      </c>
      <c r="F249" s="20">
        <v>36600</v>
      </c>
      <c r="G249" s="14">
        <f t="shared" si="11"/>
        <v>1.4814814814814836E-2</v>
      </c>
      <c r="H249" s="14">
        <f t="shared" si="11"/>
        <v>4.5383411580594668E-2</v>
      </c>
      <c r="I249" s="14">
        <f t="shared" si="11"/>
        <v>9.52380952380949E-3</v>
      </c>
      <c r="J249" s="14">
        <f t="shared" si="11"/>
        <v>1.3698630136986356E-2</v>
      </c>
      <c r="K249" s="14">
        <f t="shared" si="11"/>
        <v>6.8613138686131281E-2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35">
      <c r="A250" s="12">
        <v>44634</v>
      </c>
      <c r="B250" s="20">
        <v>13500</v>
      </c>
      <c r="C250" s="20">
        <v>31950</v>
      </c>
      <c r="D250" s="20">
        <v>10500</v>
      </c>
      <c r="E250" s="20">
        <v>29200</v>
      </c>
      <c r="F250" s="20">
        <v>34250</v>
      </c>
      <c r="G250" s="14">
        <f t="shared" si="11"/>
        <v>0</v>
      </c>
      <c r="H250" s="14">
        <f t="shared" si="11"/>
        <v>1.1075949367088667E-2</v>
      </c>
      <c r="I250" s="14">
        <f t="shared" si="11"/>
        <v>0</v>
      </c>
      <c r="J250" s="14">
        <f t="shared" si="11"/>
        <v>-6.8027210884353817E-3</v>
      </c>
      <c r="K250" s="14">
        <f t="shared" si="11"/>
        <v>6.8642745709828423E-2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35">
      <c r="A251" s="12">
        <v>44631</v>
      </c>
      <c r="B251" s="20">
        <v>13500</v>
      </c>
      <c r="C251" s="20">
        <v>31600</v>
      </c>
      <c r="D251" s="20">
        <v>10500</v>
      </c>
      <c r="E251" s="20">
        <v>29400</v>
      </c>
      <c r="F251" s="20">
        <v>32050</v>
      </c>
      <c r="G251" s="14">
        <f t="shared" si="11"/>
        <v>-7.3529411764705621E-3</v>
      </c>
      <c r="H251" s="14">
        <f t="shared" si="11"/>
        <v>6.3694267515923553E-3</v>
      </c>
      <c r="I251" s="14">
        <f t="shared" si="11"/>
        <v>0</v>
      </c>
      <c r="J251" s="14">
        <f t="shared" si="11"/>
        <v>-1.6977928692699651E-3</v>
      </c>
      <c r="K251" s="14">
        <f t="shared" si="11"/>
        <v>1.5847860538827252E-2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35">
      <c r="A252" s="12">
        <v>44630</v>
      </c>
      <c r="B252" s="20">
        <v>13600</v>
      </c>
      <c r="C252" s="20">
        <v>31400</v>
      </c>
      <c r="D252" s="20">
        <v>10500</v>
      </c>
      <c r="E252" s="20">
        <v>29450</v>
      </c>
      <c r="F252" s="20">
        <v>31550</v>
      </c>
      <c r="G252" s="14">
        <f t="shared" si="11"/>
        <v>1.4925373134328401E-2</v>
      </c>
      <c r="H252" s="14">
        <f t="shared" si="11"/>
        <v>3.1198686371100237E-2</v>
      </c>
      <c r="I252" s="14">
        <f t="shared" si="11"/>
        <v>0</v>
      </c>
      <c r="J252" s="14">
        <f t="shared" si="11"/>
        <v>5.1194539249146409E-3</v>
      </c>
      <c r="K252" s="14">
        <f t="shared" si="11"/>
        <v>3.4426229508196737E-2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35">
      <c r="A253" s="12">
        <v>44629</v>
      </c>
      <c r="B253" s="20">
        <v>13400</v>
      </c>
      <c r="C253" s="20">
        <v>30450</v>
      </c>
      <c r="D253" s="20">
        <v>10500</v>
      </c>
      <c r="E253" s="20">
        <v>29300</v>
      </c>
      <c r="F253" s="20">
        <v>30500</v>
      </c>
      <c r="G253" s="14">
        <f t="shared" si="11"/>
        <v>1.5151515151515138E-2</v>
      </c>
      <c r="H253" s="14">
        <f t="shared" si="11"/>
        <v>4.9504950495049549E-3</v>
      </c>
      <c r="I253" s="14">
        <f t="shared" si="11"/>
        <v>0</v>
      </c>
      <c r="J253" s="14">
        <f t="shared" si="11"/>
        <v>3.7168141592920367E-2</v>
      </c>
      <c r="K253" s="14">
        <f t="shared" si="11"/>
        <v>1.6420361247948545E-3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35">
      <c r="A254" s="12">
        <v>44628</v>
      </c>
      <c r="B254" s="20">
        <v>13200</v>
      </c>
      <c r="C254" s="20">
        <v>30300</v>
      </c>
      <c r="D254" s="20">
        <v>10500</v>
      </c>
      <c r="E254" s="20">
        <v>28250</v>
      </c>
      <c r="F254" s="20">
        <v>30450</v>
      </c>
      <c r="G254" s="14">
        <f t="shared" si="11"/>
        <v>1.538461538461533E-2</v>
      </c>
      <c r="H254" s="14">
        <f t="shared" si="11"/>
        <v>3.3112582781456013E-3</v>
      </c>
      <c r="I254" s="14">
        <f t="shared" si="11"/>
        <v>5.0000000000000044E-2</v>
      </c>
      <c r="J254" s="14">
        <f t="shared" si="11"/>
        <v>5.3380782918148739E-3</v>
      </c>
      <c r="K254" s="14">
        <f t="shared" si="11"/>
        <v>-9.7560975609756184E-3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35">
      <c r="A255" s="12">
        <v>44627</v>
      </c>
      <c r="B255" s="20">
        <v>13000</v>
      </c>
      <c r="C255" s="20">
        <v>30200</v>
      </c>
      <c r="D255" s="20">
        <v>10000</v>
      </c>
      <c r="E255" s="20">
        <v>28100</v>
      </c>
      <c r="F255" s="20">
        <v>30750</v>
      </c>
      <c r="G255" s="14">
        <f t="shared" si="11"/>
        <v>0</v>
      </c>
      <c r="H255" s="14">
        <f t="shared" si="11"/>
        <v>8.3472454090149917E-3</v>
      </c>
      <c r="I255" s="14">
        <f t="shared" si="11"/>
        <v>-9.9009900990099098E-3</v>
      </c>
      <c r="J255" s="14">
        <f t="shared" si="11"/>
        <v>3.5714285714285587E-3</v>
      </c>
      <c r="K255" s="14">
        <f t="shared" si="11"/>
        <v>1.4851485148514865E-2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35">
      <c r="A256" s="12">
        <v>44624</v>
      </c>
      <c r="B256" s="20">
        <v>13000</v>
      </c>
      <c r="C256" s="20">
        <v>29950</v>
      </c>
      <c r="D256" s="20">
        <v>10100</v>
      </c>
      <c r="E256" s="20">
        <v>28000</v>
      </c>
      <c r="F256" s="20">
        <v>30300</v>
      </c>
      <c r="G256" s="14">
        <f t="shared" si="11"/>
        <v>-7.6335877862595547E-3</v>
      </c>
      <c r="H256" s="14">
        <f t="shared" si="11"/>
        <v>-3.3277870216306127E-3</v>
      </c>
      <c r="I256" s="14">
        <f t="shared" si="11"/>
        <v>-1.9417475728155331E-2</v>
      </c>
      <c r="J256" s="14">
        <f t="shared" si="11"/>
        <v>-7.0921985815602939E-3</v>
      </c>
      <c r="K256" s="14">
        <f t="shared" si="11"/>
        <v>4.663212435233155E-2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35">
      <c r="A257" s="12">
        <v>44623</v>
      </c>
      <c r="B257" s="20">
        <v>13100</v>
      </c>
      <c r="C257" s="20">
        <v>30050</v>
      </c>
      <c r="D257" s="20">
        <v>10300</v>
      </c>
      <c r="E257" s="20">
        <v>28200</v>
      </c>
      <c r="F257" s="20">
        <v>28950</v>
      </c>
      <c r="G257" s="14">
        <f t="shared" si="11"/>
        <v>-2.2388059701492491E-2</v>
      </c>
      <c r="H257" s="14">
        <f t="shared" si="11"/>
        <v>-3.839999999999999E-2</v>
      </c>
      <c r="I257" s="14">
        <f t="shared" si="11"/>
        <v>-9.6153846153845812E-3</v>
      </c>
      <c r="J257" s="14">
        <f t="shared" si="11"/>
        <v>-1.7421602787456414E-2</v>
      </c>
      <c r="K257" s="14">
        <f t="shared" si="11"/>
        <v>-2.5252525252525304E-2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35">
      <c r="A258" s="12">
        <v>44622</v>
      </c>
      <c r="B258" s="20">
        <v>13400</v>
      </c>
      <c r="C258" s="20">
        <v>31250</v>
      </c>
      <c r="D258" s="20">
        <v>10400</v>
      </c>
      <c r="E258" s="20">
        <v>28700</v>
      </c>
      <c r="F258" s="20">
        <v>29700</v>
      </c>
      <c r="G258" s="14">
        <f t="shared" si="11"/>
        <v>-7.4074074074074181E-3</v>
      </c>
      <c r="H258" s="14">
        <f t="shared" si="11"/>
        <v>-2.0376175548589393E-2</v>
      </c>
      <c r="I258" s="14">
        <f t="shared" si="11"/>
        <v>-1.8867924528301883E-2</v>
      </c>
      <c r="J258" s="14">
        <f t="shared" si="11"/>
        <v>-1.0344827586206917E-2</v>
      </c>
      <c r="K258" s="14">
        <f t="shared" si="11"/>
        <v>5.0761421319795996E-3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35">
      <c r="A259" s="12">
        <v>44621</v>
      </c>
      <c r="B259" s="20">
        <v>13500</v>
      </c>
      <c r="C259" s="20">
        <v>31900</v>
      </c>
      <c r="D259" s="20">
        <v>10600</v>
      </c>
      <c r="E259" s="20">
        <v>29000</v>
      </c>
      <c r="F259" s="20">
        <v>29550</v>
      </c>
      <c r="G259" s="14">
        <f t="shared" si="11"/>
        <v>-2.877697841726623E-2</v>
      </c>
      <c r="H259" s="14">
        <f t="shared" si="11"/>
        <v>1.9169329073482455E-2</v>
      </c>
      <c r="I259" s="14">
        <f t="shared" si="11"/>
        <v>-1.851851851851849E-2</v>
      </c>
      <c r="J259" s="14">
        <f t="shared" si="11"/>
        <v>-1.0238907849829393E-2</v>
      </c>
      <c r="K259" s="14">
        <f t="shared" si="11"/>
        <v>6.8716094032549746E-2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35">
      <c r="A260" s="12">
        <v>44620</v>
      </c>
      <c r="B260" s="20">
        <v>13900</v>
      </c>
      <c r="C260" s="20">
        <v>31300</v>
      </c>
      <c r="D260" s="20">
        <v>10800</v>
      </c>
      <c r="E260" s="20">
        <v>29300</v>
      </c>
      <c r="F260" s="20">
        <v>27650</v>
      </c>
      <c r="G260" s="14">
        <f t="shared" si="11"/>
        <v>-7.1428571428571175E-3</v>
      </c>
      <c r="H260" s="14">
        <f t="shared" si="11"/>
        <v>9.6774193548387899E-3</v>
      </c>
      <c r="I260" s="14">
        <f t="shared" si="11"/>
        <v>1.8867924528301883E-2</v>
      </c>
      <c r="J260" s="14">
        <f t="shared" si="11"/>
        <v>0</v>
      </c>
      <c r="K260" s="14">
        <f t="shared" si="11"/>
        <v>-1.8050541516245744E-3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35">
      <c r="A261" s="12">
        <v>44617</v>
      </c>
      <c r="B261" s="20">
        <v>14000</v>
      </c>
      <c r="C261" s="20">
        <v>31000</v>
      </c>
      <c r="D261" s="20">
        <v>10600</v>
      </c>
      <c r="E261" s="20">
        <v>29300</v>
      </c>
      <c r="F261" s="20">
        <v>27700</v>
      </c>
      <c r="G261" s="14">
        <f t="shared" si="11"/>
        <v>7.194244604316502E-3</v>
      </c>
      <c r="H261" s="14">
        <f t="shared" si="11"/>
        <v>-9.5846645367412275E-3</v>
      </c>
      <c r="I261" s="14">
        <f t="shared" si="11"/>
        <v>-2.752293577981646E-2</v>
      </c>
      <c r="J261" s="14">
        <f t="shared" si="11"/>
        <v>3.424657534246478E-3</v>
      </c>
      <c r="K261" s="14">
        <f t="shared" si="11"/>
        <v>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35">
      <c r="A262" s="12">
        <v>44616</v>
      </c>
      <c r="B262" s="20">
        <v>13900</v>
      </c>
      <c r="C262" s="20">
        <v>31300</v>
      </c>
      <c r="D262" s="20">
        <v>10900</v>
      </c>
      <c r="E262" s="20">
        <v>29200</v>
      </c>
      <c r="F262" s="20">
        <v>27700</v>
      </c>
      <c r="G262" s="14">
        <f t="shared" si="11"/>
        <v>-2.1126760563380254E-2</v>
      </c>
      <c r="H262" s="14">
        <f t="shared" si="11"/>
        <v>-6.3492063492063266E-3</v>
      </c>
      <c r="I262" s="14">
        <f t="shared" si="11"/>
        <v>-1.8018018018018056E-2</v>
      </c>
      <c r="J262" s="14">
        <f t="shared" si="11"/>
        <v>0</v>
      </c>
      <c r="K262" s="14">
        <f t="shared" si="11"/>
        <v>-1.0714285714285676E-2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35">
      <c r="A263" s="12">
        <v>44615</v>
      </c>
      <c r="B263" s="20">
        <v>14200</v>
      </c>
      <c r="C263" s="20">
        <v>31500</v>
      </c>
      <c r="D263" s="20">
        <v>11100</v>
      </c>
      <c r="E263" s="20">
        <v>29200</v>
      </c>
      <c r="F263" s="20">
        <v>28000</v>
      </c>
      <c r="G263" s="14">
        <f t="shared" si="11"/>
        <v>2.1582733812949728E-2</v>
      </c>
      <c r="H263" s="14">
        <f t="shared" si="11"/>
        <v>3.2786885245901676E-2</v>
      </c>
      <c r="I263" s="14">
        <f t="shared" si="11"/>
        <v>-8.9285714285713969E-3</v>
      </c>
      <c r="J263" s="14">
        <f t="shared" si="11"/>
        <v>-3.4129692832765013E-3</v>
      </c>
      <c r="K263" s="14">
        <f t="shared" si="11"/>
        <v>3.3210332103321027E-2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35">
      <c r="A264" s="12">
        <v>44614</v>
      </c>
      <c r="B264" s="20">
        <v>13900</v>
      </c>
      <c r="C264" s="20">
        <v>30500</v>
      </c>
      <c r="D264" s="20">
        <v>11200</v>
      </c>
      <c r="E264" s="20">
        <v>29300</v>
      </c>
      <c r="F264" s="20">
        <v>27100</v>
      </c>
      <c r="G264" s="14">
        <f t="shared" si="11"/>
        <v>0</v>
      </c>
      <c r="H264" s="14">
        <f t="shared" si="11"/>
        <v>-1.6129032258064502E-2</v>
      </c>
      <c r="I264" s="14">
        <f t="shared" si="11"/>
        <v>-8.8495575221239076E-3</v>
      </c>
      <c r="J264" s="14">
        <f t="shared" si="11"/>
        <v>-6.7796610169491567E-3</v>
      </c>
      <c r="K264" s="14">
        <f t="shared" si="11"/>
        <v>1.3084112149532645E-2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35">
      <c r="A265" s="12">
        <v>44613</v>
      </c>
      <c r="B265" s="20">
        <v>13900</v>
      </c>
      <c r="C265" s="20">
        <v>31000</v>
      </c>
      <c r="D265" s="20">
        <v>11300</v>
      </c>
      <c r="E265" s="20">
        <v>29500</v>
      </c>
      <c r="F265" s="20">
        <v>26750</v>
      </c>
      <c r="G265" s="14">
        <f t="shared" si="11"/>
        <v>7.2463768115942351E-3</v>
      </c>
      <c r="H265" s="14">
        <f t="shared" si="11"/>
        <v>-1.5873015873015928E-2</v>
      </c>
      <c r="I265" s="14">
        <f t="shared" si="11"/>
        <v>-8.7719298245614308E-3</v>
      </c>
      <c r="J265" s="14">
        <f t="shared" si="11"/>
        <v>-1.3377926421404673E-2</v>
      </c>
      <c r="K265" s="14">
        <f t="shared" si="11"/>
        <v>-5.5762081784386242E-3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35">
      <c r="A266" s="12">
        <v>44610</v>
      </c>
      <c r="B266" s="20">
        <v>13800</v>
      </c>
      <c r="C266" s="20">
        <v>31500</v>
      </c>
      <c r="D266" s="20">
        <v>11400</v>
      </c>
      <c r="E266" s="20">
        <v>29900</v>
      </c>
      <c r="F266" s="20">
        <v>26900</v>
      </c>
      <c r="G266" s="14">
        <f t="shared" si="11"/>
        <v>7.2992700729928028E-3</v>
      </c>
      <c r="H266" s="14">
        <f t="shared" si="11"/>
        <v>-2.6275115919629055E-2</v>
      </c>
      <c r="I266" s="14">
        <f t="shared" si="11"/>
        <v>-8.6956521739129933E-3</v>
      </c>
      <c r="J266" s="14">
        <f t="shared" si="11"/>
        <v>-3.3333333333332993E-3</v>
      </c>
      <c r="K266" s="14">
        <f t="shared" si="11"/>
        <v>-3.7037037037036535E-3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35">
      <c r="A267" s="12">
        <v>44609</v>
      </c>
      <c r="B267" s="20">
        <v>13700</v>
      </c>
      <c r="C267" s="20">
        <v>32350</v>
      </c>
      <c r="D267" s="20">
        <v>11500</v>
      </c>
      <c r="E267" s="20">
        <v>30000</v>
      </c>
      <c r="F267" s="20">
        <v>27000</v>
      </c>
      <c r="G267" s="14">
        <f t="shared" si="11"/>
        <v>0</v>
      </c>
      <c r="H267" s="14">
        <f t="shared" si="11"/>
        <v>-2.8528528528528496E-2</v>
      </c>
      <c r="I267" s="14">
        <f t="shared" si="11"/>
        <v>-8.7301587301587324E-2</v>
      </c>
      <c r="J267" s="14">
        <f t="shared" si="11"/>
        <v>-6.6225165562914245E-3</v>
      </c>
      <c r="K267" s="14">
        <f t="shared" si="11"/>
        <v>-4.2553191489361653E-2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35">
      <c r="A268" s="12">
        <v>44608</v>
      </c>
      <c r="B268" s="20">
        <v>13700</v>
      </c>
      <c r="C268" s="20">
        <v>33300</v>
      </c>
      <c r="D268" s="20">
        <v>12600</v>
      </c>
      <c r="E268" s="20">
        <v>30200</v>
      </c>
      <c r="F268" s="20">
        <v>28200</v>
      </c>
      <c r="G268" s="14">
        <f t="shared" si="11"/>
        <v>0</v>
      </c>
      <c r="H268" s="14">
        <f t="shared" si="11"/>
        <v>1.6793893129771087E-2</v>
      </c>
      <c r="I268" s="14">
        <f t="shared" si="11"/>
        <v>-7.8740157480314821E-3</v>
      </c>
      <c r="J268" s="14">
        <f t="shared" si="11"/>
        <v>6.6666666666665986E-3</v>
      </c>
      <c r="K268" s="14">
        <f t="shared" si="11"/>
        <v>-2.2530329289428108E-2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35">
      <c r="A269" s="12">
        <v>44607</v>
      </c>
      <c r="B269" s="20">
        <v>13700</v>
      </c>
      <c r="C269" s="20">
        <v>32750</v>
      </c>
      <c r="D269" s="20">
        <v>12700</v>
      </c>
      <c r="E269" s="20">
        <v>30000</v>
      </c>
      <c r="F269" s="20">
        <v>28850</v>
      </c>
      <c r="G269" s="14">
        <f t="shared" si="11"/>
        <v>-3.5211267605633756E-2</v>
      </c>
      <c r="H269" s="14">
        <f t="shared" si="11"/>
        <v>-2.3845007451564815E-2</v>
      </c>
      <c r="I269" s="14">
        <f t="shared" si="11"/>
        <v>7.9365079365079083E-3</v>
      </c>
      <c r="J269" s="14">
        <f t="shared" si="11"/>
        <v>-1.1532125205930832E-2</v>
      </c>
      <c r="K269" s="14">
        <f t="shared" si="11"/>
        <v>-1.7301038062284002E-3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35">
      <c r="A270" s="12">
        <v>44606</v>
      </c>
      <c r="B270" s="20">
        <v>14200</v>
      </c>
      <c r="C270" s="20">
        <v>33550</v>
      </c>
      <c r="D270" s="20">
        <v>12600</v>
      </c>
      <c r="E270" s="20">
        <v>30350</v>
      </c>
      <c r="F270" s="20">
        <v>28900</v>
      </c>
      <c r="G270" s="14">
        <f t="shared" si="11"/>
        <v>0</v>
      </c>
      <c r="H270" s="14">
        <f t="shared" si="11"/>
        <v>-1.4880952380952328E-3</v>
      </c>
      <c r="I270" s="14">
        <f t="shared" si="11"/>
        <v>-7.8740157480314821E-3</v>
      </c>
      <c r="J270" s="14">
        <f t="shared" si="11"/>
        <v>0</v>
      </c>
      <c r="K270" s="14">
        <f t="shared" si="11"/>
        <v>3.0303030303030276E-2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35">
      <c r="A271" s="12">
        <v>44603</v>
      </c>
      <c r="B271" s="20">
        <v>14200</v>
      </c>
      <c r="C271" s="20">
        <v>33600</v>
      </c>
      <c r="D271" s="20">
        <v>12700</v>
      </c>
      <c r="E271" s="20">
        <v>30350</v>
      </c>
      <c r="F271" s="20">
        <v>28050</v>
      </c>
      <c r="G271" s="14">
        <f t="shared" si="11"/>
        <v>1.4285714285714235E-2</v>
      </c>
      <c r="H271" s="14">
        <f t="shared" si="11"/>
        <v>-1.7543859649122862E-2</v>
      </c>
      <c r="I271" s="14">
        <f t="shared" si="11"/>
        <v>0</v>
      </c>
      <c r="J271" s="14">
        <f t="shared" si="11"/>
        <v>3.3057851239668423E-3</v>
      </c>
      <c r="K271" s="14">
        <f t="shared" si="11"/>
        <v>-3.5523978685613189E-3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35">
      <c r="A272" s="12">
        <v>44602</v>
      </c>
      <c r="B272" s="20">
        <v>14000</v>
      </c>
      <c r="C272" s="20">
        <v>34200</v>
      </c>
      <c r="D272" s="20">
        <v>12700</v>
      </c>
      <c r="E272" s="20">
        <v>30250</v>
      </c>
      <c r="F272" s="20">
        <v>28150</v>
      </c>
      <c r="G272" s="14">
        <f t="shared" ref="G272:K322" si="12">B272/B273-1</f>
        <v>-1.4084507042253502E-2</v>
      </c>
      <c r="H272" s="14">
        <f t="shared" si="12"/>
        <v>0</v>
      </c>
      <c r="I272" s="14">
        <f t="shared" si="12"/>
        <v>0</v>
      </c>
      <c r="J272" s="14">
        <f t="shared" si="12"/>
        <v>-6.5681444991789739E-3</v>
      </c>
      <c r="K272" s="14">
        <f t="shared" si="12"/>
        <v>7.1556350626118537E-3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35">
      <c r="A273" s="12">
        <v>44601</v>
      </c>
      <c r="B273" s="20">
        <v>14200</v>
      </c>
      <c r="C273" s="20">
        <v>34200</v>
      </c>
      <c r="D273" s="20">
        <v>12700</v>
      </c>
      <c r="E273" s="20">
        <v>30450</v>
      </c>
      <c r="F273" s="20">
        <v>27950</v>
      </c>
      <c r="G273" s="14">
        <f t="shared" si="12"/>
        <v>0</v>
      </c>
      <c r="H273" s="14">
        <f t="shared" si="12"/>
        <v>5.8823529411764497E-3</v>
      </c>
      <c r="I273" s="14">
        <f t="shared" si="12"/>
        <v>1.6000000000000014E-2</v>
      </c>
      <c r="J273" s="14">
        <f t="shared" si="12"/>
        <v>3.2948929159801743E-3</v>
      </c>
      <c r="K273" s="14">
        <f t="shared" si="12"/>
        <v>1.26811594202898E-2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35">
      <c r="A274" s="12">
        <v>44600</v>
      </c>
      <c r="B274" s="20">
        <v>14200</v>
      </c>
      <c r="C274" s="20">
        <v>34000</v>
      </c>
      <c r="D274" s="20">
        <v>12500</v>
      </c>
      <c r="E274" s="20">
        <v>30350</v>
      </c>
      <c r="F274" s="20">
        <v>27600</v>
      </c>
      <c r="G274" s="14">
        <f t="shared" si="12"/>
        <v>4.4117647058823595E-2</v>
      </c>
      <c r="H274" s="14">
        <f t="shared" si="12"/>
        <v>1.1904761904761862E-2</v>
      </c>
      <c r="I274" s="14">
        <f t="shared" si="12"/>
        <v>8.0645161290322509E-3</v>
      </c>
      <c r="J274" s="14">
        <f t="shared" si="12"/>
        <v>9.9833610648918381E-3</v>
      </c>
      <c r="K274" s="14">
        <f t="shared" si="12"/>
        <v>6.9767441860465018E-2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35">
      <c r="A275" s="12">
        <v>44599</v>
      </c>
      <c r="B275" s="20">
        <v>13600</v>
      </c>
      <c r="C275" s="20">
        <v>33600</v>
      </c>
      <c r="D275" s="20">
        <v>12400</v>
      </c>
      <c r="E275" s="20">
        <v>30050</v>
      </c>
      <c r="F275" s="20">
        <v>25800</v>
      </c>
      <c r="G275" s="14">
        <f t="shared" si="12"/>
        <v>-2.1582733812949617E-2</v>
      </c>
      <c r="H275" s="14">
        <f t="shared" si="12"/>
        <v>-1.6105417276720324E-2</v>
      </c>
      <c r="I275" s="14">
        <f t="shared" si="12"/>
        <v>-8.0000000000000071E-3</v>
      </c>
      <c r="J275" s="14">
        <f t="shared" si="12"/>
        <v>-2.1172638436482094E-2</v>
      </c>
      <c r="K275" s="14">
        <f t="shared" si="12"/>
        <v>3.8910505836575737E-3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35">
      <c r="A276" s="12">
        <v>44589</v>
      </c>
      <c r="B276" s="20">
        <v>13900</v>
      </c>
      <c r="C276" s="20">
        <v>34150</v>
      </c>
      <c r="D276" s="20">
        <v>12500</v>
      </c>
      <c r="E276" s="20">
        <v>30700</v>
      </c>
      <c r="F276" s="20">
        <v>25700</v>
      </c>
      <c r="G276" s="14">
        <f t="shared" si="12"/>
        <v>2.2058823529411686E-2</v>
      </c>
      <c r="H276" s="14">
        <f t="shared" si="12"/>
        <v>0</v>
      </c>
      <c r="I276" s="14">
        <f t="shared" si="12"/>
        <v>2.4590163934426146E-2</v>
      </c>
      <c r="J276" s="14">
        <f t="shared" si="12"/>
        <v>4.2444821731748794E-2</v>
      </c>
      <c r="K276" s="14">
        <f t="shared" si="12"/>
        <v>5.8708414872798986E-3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35">
      <c r="A277" s="12">
        <v>44588</v>
      </c>
      <c r="B277" s="20">
        <v>13600</v>
      </c>
      <c r="C277" s="20">
        <v>34150</v>
      </c>
      <c r="D277" s="20">
        <v>12200</v>
      </c>
      <c r="E277" s="20">
        <v>29450</v>
      </c>
      <c r="F277" s="20">
        <v>25550</v>
      </c>
      <c r="G277" s="14">
        <f t="shared" si="12"/>
        <v>7.4074074074073071E-3</v>
      </c>
      <c r="H277" s="14">
        <f t="shared" si="12"/>
        <v>-1.4619883040936088E-3</v>
      </c>
      <c r="I277" s="14">
        <f t="shared" si="12"/>
        <v>8.2644628099173278E-3</v>
      </c>
      <c r="J277" s="14">
        <f t="shared" si="12"/>
        <v>-1.6949152542372614E-3</v>
      </c>
      <c r="K277" s="14">
        <f t="shared" si="12"/>
        <v>-1.953125E-3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35">
      <c r="A278" s="12">
        <v>44587</v>
      </c>
      <c r="B278" s="20">
        <v>13500</v>
      </c>
      <c r="C278" s="20">
        <v>34200</v>
      </c>
      <c r="D278" s="20">
        <v>12100</v>
      </c>
      <c r="E278" s="20">
        <v>29500</v>
      </c>
      <c r="F278" s="20">
        <v>25600</v>
      </c>
      <c r="G278" s="14">
        <f t="shared" si="12"/>
        <v>-2.877697841726623E-2</v>
      </c>
      <c r="H278" s="14">
        <f t="shared" si="12"/>
        <v>-2.8409090909090939E-2</v>
      </c>
      <c r="I278" s="14">
        <f t="shared" si="12"/>
        <v>3.4188034188034289E-2</v>
      </c>
      <c r="J278" s="14">
        <f t="shared" si="12"/>
        <v>-6.7340067340067034E-3</v>
      </c>
      <c r="K278" s="14">
        <f t="shared" si="12"/>
        <v>-3.0303030303030276E-2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35">
      <c r="A279" s="12">
        <v>44586</v>
      </c>
      <c r="B279" s="20">
        <v>13900</v>
      </c>
      <c r="C279" s="20">
        <v>35200</v>
      </c>
      <c r="D279" s="20">
        <v>11700</v>
      </c>
      <c r="E279" s="20">
        <v>29700</v>
      </c>
      <c r="F279" s="20">
        <v>26400</v>
      </c>
      <c r="G279" s="14">
        <f t="shared" si="12"/>
        <v>2.2058823529411686E-2</v>
      </c>
      <c r="H279" s="14">
        <f t="shared" si="12"/>
        <v>2.9239766081871288E-2</v>
      </c>
      <c r="I279" s="14">
        <f t="shared" si="12"/>
        <v>2.6315789473684292E-2</v>
      </c>
      <c r="J279" s="14">
        <f t="shared" si="12"/>
        <v>-1.6806722689075571E-3</v>
      </c>
      <c r="K279" s="14">
        <f t="shared" si="12"/>
        <v>-1.890359168241984E-3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35">
      <c r="A280" s="12">
        <v>44585</v>
      </c>
      <c r="B280" s="20">
        <v>13600</v>
      </c>
      <c r="C280" s="20">
        <v>34200</v>
      </c>
      <c r="D280" s="20">
        <v>11400</v>
      </c>
      <c r="E280" s="20">
        <v>29750</v>
      </c>
      <c r="F280" s="20">
        <v>26450</v>
      </c>
      <c r="G280" s="14">
        <f t="shared" si="12"/>
        <v>7.4074074074073071E-3</v>
      </c>
      <c r="H280" s="14">
        <f t="shared" si="12"/>
        <v>-2.9154518950437192E-3</v>
      </c>
      <c r="I280" s="14">
        <f t="shared" si="12"/>
        <v>8.8495575221239076E-3</v>
      </c>
      <c r="J280" s="14">
        <f t="shared" si="12"/>
        <v>5.0675675675675436E-3</v>
      </c>
      <c r="K280" s="14">
        <f t="shared" si="12"/>
        <v>1.9267822736030782E-2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35">
      <c r="A281" s="12">
        <v>44582</v>
      </c>
      <c r="B281" s="20">
        <v>13500</v>
      </c>
      <c r="C281" s="20">
        <v>34300</v>
      </c>
      <c r="D281" s="20">
        <v>11300</v>
      </c>
      <c r="E281" s="20">
        <v>29600</v>
      </c>
      <c r="F281" s="20">
        <v>25950</v>
      </c>
      <c r="G281" s="14">
        <f t="shared" si="12"/>
        <v>-7.3529411764705621E-3</v>
      </c>
      <c r="H281" s="14">
        <f t="shared" si="12"/>
        <v>-1.1527377521613813E-2</v>
      </c>
      <c r="I281" s="14">
        <f t="shared" si="12"/>
        <v>-8.7719298245614308E-3</v>
      </c>
      <c r="J281" s="14">
        <f t="shared" si="12"/>
        <v>-6.7114093959731447E-3</v>
      </c>
      <c r="K281" s="14">
        <f t="shared" si="12"/>
        <v>2.3668639053254337E-2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5">
      <c r="A282" s="12">
        <v>44581</v>
      </c>
      <c r="B282" s="20">
        <v>13600</v>
      </c>
      <c r="C282" s="20">
        <v>34700</v>
      </c>
      <c r="D282" s="20">
        <v>11400</v>
      </c>
      <c r="E282" s="20">
        <v>29800</v>
      </c>
      <c r="F282" s="20">
        <v>25350</v>
      </c>
      <c r="G282" s="14">
        <f t="shared" si="12"/>
        <v>7.4074074074073071E-3</v>
      </c>
      <c r="H282" s="14">
        <f t="shared" si="12"/>
        <v>-8.5714285714285632E-3</v>
      </c>
      <c r="I282" s="14">
        <f t="shared" si="12"/>
        <v>8.8495575221239076E-3</v>
      </c>
      <c r="J282" s="14">
        <f t="shared" si="12"/>
        <v>8.4602368866328881E-3</v>
      </c>
      <c r="K282" s="14">
        <f t="shared" si="12"/>
        <v>3.9603960396039639E-3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35">
      <c r="A283" s="12">
        <v>44580</v>
      </c>
      <c r="B283" s="20">
        <v>13500</v>
      </c>
      <c r="C283" s="20">
        <v>35000</v>
      </c>
      <c r="D283" s="20">
        <v>11300</v>
      </c>
      <c r="E283" s="20">
        <v>29550</v>
      </c>
      <c r="F283" s="20">
        <v>25250</v>
      </c>
      <c r="G283" s="14">
        <f t="shared" si="12"/>
        <v>4.6511627906976827E-2</v>
      </c>
      <c r="H283" s="14">
        <f t="shared" si="12"/>
        <v>6.7073170731707377E-2</v>
      </c>
      <c r="I283" s="14">
        <f t="shared" si="12"/>
        <v>-8.7719298245614308E-3</v>
      </c>
      <c r="J283" s="14">
        <f t="shared" si="12"/>
        <v>1.6949152542373724E-3</v>
      </c>
      <c r="K283" s="14">
        <f t="shared" si="12"/>
        <v>1.4056224899598346E-2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5">
      <c r="A284" s="12">
        <v>44579</v>
      </c>
      <c r="B284" s="20">
        <v>12900</v>
      </c>
      <c r="C284" s="20">
        <v>32800</v>
      </c>
      <c r="D284" s="20">
        <v>11400</v>
      </c>
      <c r="E284" s="20">
        <v>29500</v>
      </c>
      <c r="F284" s="20">
        <v>24900</v>
      </c>
      <c r="G284" s="14">
        <f t="shared" si="12"/>
        <v>0</v>
      </c>
      <c r="H284" s="14">
        <f t="shared" si="12"/>
        <v>-3.0395136778115228E-3</v>
      </c>
      <c r="I284" s="14">
        <f t="shared" si="12"/>
        <v>2.7027027027026973E-2</v>
      </c>
      <c r="J284" s="14">
        <f t="shared" si="12"/>
        <v>0</v>
      </c>
      <c r="K284" s="14">
        <f t="shared" si="12"/>
        <v>-2.5440313111546042E-2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35">
      <c r="A285" s="12">
        <v>44578</v>
      </c>
      <c r="B285" s="20">
        <v>12900</v>
      </c>
      <c r="C285" s="20">
        <v>32900</v>
      </c>
      <c r="D285" s="20">
        <v>11100</v>
      </c>
      <c r="E285" s="20">
        <v>29500</v>
      </c>
      <c r="F285" s="20">
        <v>25550</v>
      </c>
      <c r="G285" s="14">
        <f t="shared" si="12"/>
        <v>7.8125E-3</v>
      </c>
      <c r="H285" s="14">
        <f t="shared" si="12"/>
        <v>1.5220700152207556E-3</v>
      </c>
      <c r="I285" s="14">
        <f t="shared" si="12"/>
        <v>0</v>
      </c>
      <c r="J285" s="14">
        <f t="shared" si="12"/>
        <v>8.5470085470085166E-3</v>
      </c>
      <c r="K285" s="14">
        <f t="shared" si="12"/>
        <v>-5.8365758754863606E-3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5">
      <c r="A286" s="12">
        <v>44575</v>
      </c>
      <c r="B286" s="20">
        <v>12800</v>
      </c>
      <c r="C286" s="20">
        <v>32850</v>
      </c>
      <c r="D286" s="20">
        <v>11100</v>
      </c>
      <c r="E286" s="20">
        <v>29250</v>
      </c>
      <c r="F286" s="20">
        <v>25700</v>
      </c>
      <c r="G286" s="14">
        <f t="shared" si="12"/>
        <v>-7.7519379844961378E-3</v>
      </c>
      <c r="H286" s="14">
        <f t="shared" si="12"/>
        <v>-1.7937219730941756E-2</v>
      </c>
      <c r="I286" s="14">
        <f t="shared" si="12"/>
        <v>0</v>
      </c>
      <c r="J286" s="14">
        <f t="shared" si="12"/>
        <v>-1.3490725126475533E-2</v>
      </c>
      <c r="K286" s="14">
        <f t="shared" si="12"/>
        <v>-1.1538461538461497E-2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35">
      <c r="A287" s="12">
        <v>44574</v>
      </c>
      <c r="B287" s="20">
        <v>12900</v>
      </c>
      <c r="C287" s="20">
        <v>33450</v>
      </c>
      <c r="D287" s="20">
        <v>11100</v>
      </c>
      <c r="E287" s="20">
        <v>29650</v>
      </c>
      <c r="F287" s="20">
        <v>26000</v>
      </c>
      <c r="G287" s="14">
        <f t="shared" si="12"/>
        <v>3.2000000000000028E-2</v>
      </c>
      <c r="H287" s="14">
        <f t="shared" si="12"/>
        <v>-1.6176470588235348E-2</v>
      </c>
      <c r="I287" s="14">
        <f t="shared" si="12"/>
        <v>2.7777777777777679E-2</v>
      </c>
      <c r="J287" s="14">
        <f t="shared" si="12"/>
        <v>-5.0335570469798308E-3</v>
      </c>
      <c r="K287" s="14">
        <f t="shared" si="12"/>
        <v>3.8610038610038533E-3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5">
      <c r="A288" s="12">
        <v>44573</v>
      </c>
      <c r="B288" s="20">
        <v>12500</v>
      </c>
      <c r="C288" s="20">
        <v>34000</v>
      </c>
      <c r="D288" s="20">
        <v>10800</v>
      </c>
      <c r="E288" s="20">
        <v>29800</v>
      </c>
      <c r="F288" s="20">
        <v>25900</v>
      </c>
      <c r="G288" s="14">
        <f t="shared" si="12"/>
        <v>8.0645161290322509E-3</v>
      </c>
      <c r="H288" s="14">
        <f t="shared" si="12"/>
        <v>-4.3923865300146137E-3</v>
      </c>
      <c r="I288" s="14">
        <f t="shared" si="12"/>
        <v>9.3457943925232545E-3</v>
      </c>
      <c r="J288" s="14">
        <f t="shared" si="12"/>
        <v>-8.3194675540765317E-3</v>
      </c>
      <c r="K288" s="14">
        <f t="shared" si="12"/>
        <v>1.9685039370078705E-2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5">
      <c r="A289" s="12">
        <v>44572</v>
      </c>
      <c r="B289" s="20">
        <v>12400</v>
      </c>
      <c r="C289" s="20">
        <v>34150</v>
      </c>
      <c r="D289" s="20">
        <v>10700</v>
      </c>
      <c r="E289" s="20">
        <v>30050</v>
      </c>
      <c r="F289" s="20">
        <v>25400</v>
      </c>
      <c r="G289" s="14">
        <f t="shared" si="12"/>
        <v>8.1300813008129413E-3</v>
      </c>
      <c r="H289" s="14">
        <f t="shared" si="12"/>
        <v>3.1722054380664666E-2</v>
      </c>
      <c r="I289" s="14">
        <f t="shared" si="12"/>
        <v>9.4339622641510523E-3</v>
      </c>
      <c r="J289" s="14">
        <f t="shared" si="12"/>
        <v>1.5202702702702631E-2</v>
      </c>
      <c r="K289" s="14">
        <f t="shared" si="12"/>
        <v>3.9525691699604515E-3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35">
      <c r="A290" s="12">
        <v>44571</v>
      </c>
      <c r="B290" s="20">
        <v>12300</v>
      </c>
      <c r="C290" s="20">
        <v>33100</v>
      </c>
      <c r="D290" s="20">
        <v>10600</v>
      </c>
      <c r="E290" s="20">
        <v>29600</v>
      </c>
      <c r="F290" s="20">
        <v>25300</v>
      </c>
      <c r="G290" s="14">
        <f t="shared" si="12"/>
        <v>-8.0645161290322509E-3</v>
      </c>
      <c r="H290" s="14">
        <f t="shared" si="12"/>
        <v>3.4375000000000044E-2</v>
      </c>
      <c r="I290" s="14">
        <f t="shared" si="12"/>
        <v>-1.851851851851849E-2</v>
      </c>
      <c r="J290" s="14">
        <f t="shared" si="12"/>
        <v>-5.0420168067226712E-3</v>
      </c>
      <c r="K290" s="14">
        <f t="shared" si="12"/>
        <v>9.9800399201597223E-3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5">
      <c r="A291" s="12">
        <v>44568</v>
      </c>
      <c r="B291" s="20">
        <v>12400</v>
      </c>
      <c r="C291" s="20">
        <v>32000</v>
      </c>
      <c r="D291" s="20">
        <v>10800</v>
      </c>
      <c r="E291" s="20">
        <v>29750</v>
      </c>
      <c r="F291" s="20">
        <v>25050</v>
      </c>
      <c r="G291" s="14">
        <f t="shared" si="12"/>
        <v>0</v>
      </c>
      <c r="H291" s="14">
        <f t="shared" si="12"/>
        <v>-2.7355623100303927E-2</v>
      </c>
      <c r="I291" s="14">
        <f t="shared" si="12"/>
        <v>9.3457943925232545E-3</v>
      </c>
      <c r="J291" s="14">
        <f t="shared" si="12"/>
        <v>8.4745762711864181E-3</v>
      </c>
      <c r="K291" s="14">
        <f t="shared" si="12"/>
        <v>1.8292682926829285E-2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35">
      <c r="A292" s="12">
        <v>44567</v>
      </c>
      <c r="B292" s="20">
        <v>12400</v>
      </c>
      <c r="C292" s="20">
        <v>32900</v>
      </c>
      <c r="D292" s="20">
        <v>10700</v>
      </c>
      <c r="E292" s="20">
        <v>29500</v>
      </c>
      <c r="F292" s="20">
        <v>24600</v>
      </c>
      <c r="G292" s="14">
        <f t="shared" si="12"/>
        <v>-8.0000000000000071E-3</v>
      </c>
      <c r="H292" s="14">
        <f t="shared" si="12"/>
        <v>9.2024539877300082E-3</v>
      </c>
      <c r="I292" s="14">
        <f t="shared" si="12"/>
        <v>0</v>
      </c>
      <c r="J292" s="14">
        <f t="shared" si="12"/>
        <v>2.9668411867364686E-2</v>
      </c>
      <c r="K292" s="14">
        <f t="shared" si="12"/>
        <v>6.956521739130439E-2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5">
      <c r="A293" s="12">
        <v>44566</v>
      </c>
      <c r="B293" s="20">
        <v>12500</v>
      </c>
      <c r="C293" s="20">
        <v>32600</v>
      </c>
      <c r="D293" s="20">
        <v>10700</v>
      </c>
      <c r="E293" s="20">
        <v>28650</v>
      </c>
      <c r="F293" s="20">
        <v>23000</v>
      </c>
      <c r="G293" s="14">
        <f t="shared" si="12"/>
        <v>1.6260162601626105E-2</v>
      </c>
      <c r="H293" s="14">
        <f t="shared" si="12"/>
        <v>2.515723270440251E-2</v>
      </c>
      <c r="I293" s="14">
        <f t="shared" si="12"/>
        <v>-9.2592592592593004E-3</v>
      </c>
      <c r="J293" s="14">
        <f t="shared" si="12"/>
        <v>8.8028169014084945E-3</v>
      </c>
      <c r="K293" s="14">
        <f t="shared" si="12"/>
        <v>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35">
      <c r="A294" s="12">
        <v>44565</v>
      </c>
      <c r="B294" s="20">
        <v>12300</v>
      </c>
      <c r="C294" s="20">
        <v>31800</v>
      </c>
      <c r="D294" s="20">
        <v>10800</v>
      </c>
      <c r="E294" s="20">
        <v>28400</v>
      </c>
      <c r="F294" s="20">
        <v>23000</v>
      </c>
      <c r="G294" s="14">
        <f t="shared" si="12"/>
        <v>-2.3809523809523836E-2</v>
      </c>
      <c r="H294" s="14">
        <f t="shared" si="12"/>
        <v>-1.851851851851849E-2</v>
      </c>
      <c r="I294" s="14">
        <f t="shared" si="12"/>
        <v>-9.1743119266054496E-3</v>
      </c>
      <c r="J294" s="14">
        <f t="shared" si="12"/>
        <v>5.3097345132744334E-3</v>
      </c>
      <c r="K294" s="14">
        <f t="shared" si="12"/>
        <v>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5">
      <c r="A295" s="12">
        <v>44561</v>
      </c>
      <c r="B295" s="20">
        <v>12600</v>
      </c>
      <c r="C295" s="20">
        <v>32400</v>
      </c>
      <c r="D295" s="20">
        <v>10900</v>
      </c>
      <c r="E295" s="20">
        <v>28250</v>
      </c>
      <c r="F295" s="20">
        <v>23000</v>
      </c>
      <c r="G295" s="14">
        <f t="shared" si="12"/>
        <v>-7.8740157480314821E-3</v>
      </c>
      <c r="H295" s="14">
        <f t="shared" si="12"/>
        <v>2.3696682464454888E-2</v>
      </c>
      <c r="I295" s="14">
        <f t="shared" si="12"/>
        <v>0</v>
      </c>
      <c r="J295" s="14">
        <f t="shared" si="12"/>
        <v>7.1301247771835552E-3</v>
      </c>
      <c r="K295" s="14">
        <f t="shared" si="12"/>
        <v>-1.9189765458422214E-2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35">
      <c r="A296" s="12">
        <v>44560</v>
      </c>
      <c r="B296" s="20">
        <v>12700</v>
      </c>
      <c r="C296" s="20">
        <v>31650</v>
      </c>
      <c r="D296" s="20">
        <v>10900</v>
      </c>
      <c r="E296" s="20">
        <v>28050</v>
      </c>
      <c r="F296" s="20">
        <v>23450</v>
      </c>
      <c r="G296" s="14">
        <f t="shared" si="12"/>
        <v>-7.8125E-3</v>
      </c>
      <c r="H296" s="14">
        <f t="shared" si="12"/>
        <v>2.2617124394184174E-2</v>
      </c>
      <c r="I296" s="14">
        <f t="shared" si="12"/>
        <v>9.2592592592593004E-3</v>
      </c>
      <c r="J296" s="14">
        <f t="shared" si="12"/>
        <v>-1.4059753954305809E-2</v>
      </c>
      <c r="K296" s="14">
        <f t="shared" si="12"/>
        <v>2.1367521367521292E-3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5">
      <c r="A297" s="12">
        <v>44559</v>
      </c>
      <c r="B297" s="20">
        <v>12800</v>
      </c>
      <c r="C297" s="20">
        <v>30950</v>
      </c>
      <c r="D297" s="20">
        <v>10800</v>
      </c>
      <c r="E297" s="20">
        <v>28450</v>
      </c>
      <c r="F297" s="20">
        <v>23400</v>
      </c>
      <c r="G297" s="14">
        <f t="shared" si="12"/>
        <v>1.5873015873015817E-2</v>
      </c>
      <c r="H297" s="14">
        <f t="shared" si="12"/>
        <v>6.7241379310344795E-2</v>
      </c>
      <c r="I297" s="14">
        <f t="shared" si="12"/>
        <v>-9.1743119266054496E-3</v>
      </c>
      <c r="J297" s="14">
        <f t="shared" si="12"/>
        <v>2.1543985637342944E-2</v>
      </c>
      <c r="K297" s="14">
        <f t="shared" si="12"/>
        <v>2.6315789473684292E-2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35">
      <c r="A298" s="12">
        <v>44558</v>
      </c>
      <c r="B298" s="20">
        <v>12600</v>
      </c>
      <c r="C298" s="20">
        <v>29000</v>
      </c>
      <c r="D298" s="20">
        <v>10900</v>
      </c>
      <c r="E298" s="20">
        <v>27850</v>
      </c>
      <c r="F298" s="20">
        <v>22800</v>
      </c>
      <c r="G298" s="14">
        <f t="shared" si="12"/>
        <v>-7.8740157480314821E-3</v>
      </c>
      <c r="H298" s="14">
        <f t="shared" si="12"/>
        <v>-6.8493150684931781E-3</v>
      </c>
      <c r="I298" s="14">
        <f t="shared" si="12"/>
        <v>9.2592592592593004E-3</v>
      </c>
      <c r="J298" s="14">
        <f t="shared" si="12"/>
        <v>-1.0657193605683846E-2</v>
      </c>
      <c r="K298" s="14">
        <f t="shared" si="12"/>
        <v>-2.5641025641025661E-2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5">
      <c r="A299" s="12">
        <v>44557</v>
      </c>
      <c r="B299" s="20">
        <v>12700</v>
      </c>
      <c r="C299" s="20">
        <v>29200</v>
      </c>
      <c r="D299" s="20">
        <v>10800</v>
      </c>
      <c r="E299" s="20">
        <v>28150</v>
      </c>
      <c r="F299" s="20">
        <v>23400</v>
      </c>
      <c r="G299" s="14">
        <f t="shared" si="12"/>
        <v>-7.8125E-3</v>
      </c>
      <c r="H299" s="14">
        <f t="shared" si="12"/>
        <v>-1.3513513513513487E-2</v>
      </c>
      <c r="I299" s="14">
        <f t="shared" si="12"/>
        <v>2.857142857142847E-2</v>
      </c>
      <c r="J299" s="14">
        <f t="shared" si="12"/>
        <v>3.6832412523020164E-2</v>
      </c>
      <c r="K299" s="14">
        <f t="shared" si="12"/>
        <v>-1.4736842105263159E-2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35">
      <c r="A300" s="12">
        <v>44554</v>
      </c>
      <c r="B300" s="20">
        <v>12800</v>
      </c>
      <c r="C300" s="20">
        <v>29600</v>
      </c>
      <c r="D300" s="20">
        <v>10500</v>
      </c>
      <c r="E300" s="20">
        <v>27150</v>
      </c>
      <c r="F300" s="20">
        <v>23750</v>
      </c>
      <c r="G300" s="14">
        <f t="shared" si="12"/>
        <v>-7.7519379844961378E-3</v>
      </c>
      <c r="H300" s="14">
        <f t="shared" si="12"/>
        <v>4.5936395759717419E-2</v>
      </c>
      <c r="I300" s="14">
        <f t="shared" si="12"/>
        <v>1.9417475728155331E-2</v>
      </c>
      <c r="J300" s="14">
        <f t="shared" si="12"/>
        <v>-4.0636042402826811E-2</v>
      </c>
      <c r="K300" s="14">
        <f t="shared" si="12"/>
        <v>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35">
      <c r="A301" s="12">
        <v>44553</v>
      </c>
      <c r="B301" s="20">
        <v>12900</v>
      </c>
      <c r="C301" s="20">
        <v>28300</v>
      </c>
      <c r="D301" s="20">
        <v>10300</v>
      </c>
      <c r="E301" s="20">
        <v>28300</v>
      </c>
      <c r="F301" s="20">
        <v>23750</v>
      </c>
      <c r="G301" s="14">
        <f t="shared" si="12"/>
        <v>4.0322580645161255E-2</v>
      </c>
      <c r="H301" s="14">
        <f t="shared" si="12"/>
        <v>-1.7636684303351524E-3</v>
      </c>
      <c r="I301" s="14">
        <f t="shared" si="12"/>
        <v>1.980198019801982E-2</v>
      </c>
      <c r="J301" s="14">
        <f t="shared" si="12"/>
        <v>1.7699115044247371E-3</v>
      </c>
      <c r="K301" s="14">
        <f t="shared" si="12"/>
        <v>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35">
      <c r="A302" s="12">
        <v>44552</v>
      </c>
      <c r="B302" s="20">
        <v>12400</v>
      </c>
      <c r="C302" s="20">
        <v>28350</v>
      </c>
      <c r="D302" s="20">
        <v>10100</v>
      </c>
      <c r="E302" s="20">
        <v>28250</v>
      </c>
      <c r="F302" s="20">
        <v>23750</v>
      </c>
      <c r="G302" s="14">
        <f t="shared" si="12"/>
        <v>0</v>
      </c>
      <c r="H302" s="14">
        <f t="shared" si="12"/>
        <v>-1.9031141868512069E-2</v>
      </c>
      <c r="I302" s="14">
        <f t="shared" si="12"/>
        <v>0</v>
      </c>
      <c r="J302" s="14">
        <f t="shared" si="12"/>
        <v>-7.0298769771528491E-3</v>
      </c>
      <c r="K302" s="14">
        <f t="shared" si="12"/>
        <v>4.2283298097252064E-3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35">
      <c r="A303" s="12">
        <v>44551</v>
      </c>
      <c r="B303" s="20">
        <v>12400</v>
      </c>
      <c r="C303" s="20">
        <v>28900</v>
      </c>
      <c r="D303" s="20">
        <v>10100</v>
      </c>
      <c r="E303" s="20">
        <v>28450</v>
      </c>
      <c r="F303" s="20">
        <v>23650</v>
      </c>
      <c r="G303" s="14">
        <f t="shared" si="12"/>
        <v>1.6393442622950838E-2</v>
      </c>
      <c r="H303" s="14">
        <f t="shared" si="12"/>
        <v>2.4822695035461084E-2</v>
      </c>
      <c r="I303" s="14">
        <f t="shared" si="12"/>
        <v>2.020202020202011E-2</v>
      </c>
      <c r="J303" s="14">
        <f t="shared" si="12"/>
        <v>5.300353356890497E-3</v>
      </c>
      <c r="K303" s="14">
        <f t="shared" si="12"/>
        <v>-3.0737704918032738E-2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35">
      <c r="A304" s="12">
        <v>44550</v>
      </c>
      <c r="B304" s="20">
        <v>12200</v>
      </c>
      <c r="C304" s="20">
        <v>28200</v>
      </c>
      <c r="D304" s="20">
        <v>9900</v>
      </c>
      <c r="E304" s="20">
        <v>28300</v>
      </c>
      <c r="F304" s="20">
        <v>24400</v>
      </c>
      <c r="G304" s="14">
        <f t="shared" si="12"/>
        <v>1.6666666666666607E-2</v>
      </c>
      <c r="H304" s="14">
        <f t="shared" si="12"/>
        <v>7.1428571428571175E-3</v>
      </c>
      <c r="I304" s="14">
        <f t="shared" si="12"/>
        <v>0</v>
      </c>
      <c r="J304" s="14">
        <f t="shared" si="12"/>
        <v>8.9126559714796105E-3</v>
      </c>
      <c r="K304" s="14">
        <f t="shared" si="12"/>
        <v>-4.0816326530612734E-3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5">
      <c r="A305" s="12">
        <v>44547</v>
      </c>
      <c r="B305" s="20">
        <v>12000</v>
      </c>
      <c r="C305" s="20">
        <v>28000</v>
      </c>
      <c r="D305" s="20">
        <v>9900</v>
      </c>
      <c r="E305" s="20">
        <v>28050</v>
      </c>
      <c r="F305" s="20">
        <v>24500</v>
      </c>
      <c r="G305" s="14">
        <f t="shared" si="12"/>
        <v>-1.6393442622950838E-2</v>
      </c>
      <c r="H305" s="14">
        <f t="shared" si="12"/>
        <v>-1.9264448336252182E-2</v>
      </c>
      <c r="I305" s="14">
        <f t="shared" si="12"/>
        <v>0</v>
      </c>
      <c r="J305" s="14">
        <f t="shared" si="12"/>
        <v>-5.3191489361702482E-3</v>
      </c>
      <c r="K305" s="14">
        <f t="shared" si="12"/>
        <v>4.7008547008547064E-2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35">
      <c r="A306" s="12">
        <v>44546</v>
      </c>
      <c r="B306" s="20">
        <v>12200</v>
      </c>
      <c r="C306" s="20">
        <v>28550</v>
      </c>
      <c r="D306" s="20">
        <v>9900</v>
      </c>
      <c r="E306" s="20">
        <v>28200</v>
      </c>
      <c r="F306" s="20">
        <v>23400</v>
      </c>
      <c r="G306" s="14">
        <f t="shared" si="12"/>
        <v>8.2644628099173278E-3</v>
      </c>
      <c r="H306" s="14">
        <f t="shared" si="12"/>
        <v>-1.7482517482517723E-3</v>
      </c>
      <c r="I306" s="14">
        <f t="shared" si="12"/>
        <v>1.0204081632652962E-2</v>
      </c>
      <c r="J306" s="14">
        <f t="shared" si="12"/>
        <v>-1.0526315789473717E-2</v>
      </c>
      <c r="K306" s="14">
        <f t="shared" si="12"/>
        <v>6.4516129032257119E-3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5">
      <c r="A307" s="12">
        <v>44545</v>
      </c>
      <c r="B307" s="20">
        <v>12100</v>
      </c>
      <c r="C307" s="20">
        <v>28600</v>
      </c>
      <c r="D307" s="20">
        <v>9800</v>
      </c>
      <c r="E307" s="20">
        <v>28500</v>
      </c>
      <c r="F307" s="20">
        <v>23250</v>
      </c>
      <c r="G307" s="14">
        <f t="shared" si="12"/>
        <v>-8.1967213114754189E-3</v>
      </c>
      <c r="H307" s="14">
        <f t="shared" si="12"/>
        <v>3.2490974729241895E-2</v>
      </c>
      <c r="I307" s="14">
        <f t="shared" si="12"/>
        <v>0</v>
      </c>
      <c r="J307" s="14">
        <f t="shared" si="12"/>
        <v>3.5211267605634866E-3</v>
      </c>
      <c r="K307" s="14">
        <f t="shared" si="12"/>
        <v>-4.9079754601227044E-2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35">
      <c r="A308" s="12">
        <v>44544</v>
      </c>
      <c r="B308" s="20">
        <v>12200</v>
      </c>
      <c r="C308" s="20">
        <v>27700</v>
      </c>
      <c r="D308" s="20">
        <v>9800</v>
      </c>
      <c r="E308" s="20">
        <v>28400</v>
      </c>
      <c r="F308" s="20">
        <v>24450</v>
      </c>
      <c r="G308" s="14">
        <f t="shared" si="12"/>
        <v>8.2644628099173278E-3</v>
      </c>
      <c r="H308" s="14">
        <f t="shared" si="12"/>
        <v>2.5925925925925908E-2</v>
      </c>
      <c r="I308" s="14">
        <f t="shared" si="12"/>
        <v>0</v>
      </c>
      <c r="J308" s="14">
        <f t="shared" si="12"/>
        <v>-3.5087719298245723E-3</v>
      </c>
      <c r="K308" s="14">
        <f t="shared" si="12"/>
        <v>-2.0408163265306367E-3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5">
      <c r="A309" s="12">
        <v>44543</v>
      </c>
      <c r="B309" s="20">
        <v>12100</v>
      </c>
      <c r="C309" s="20">
        <v>27000</v>
      </c>
      <c r="D309" s="20">
        <v>9800</v>
      </c>
      <c r="E309" s="20">
        <v>28500</v>
      </c>
      <c r="F309" s="20">
        <v>24500</v>
      </c>
      <c r="G309" s="14">
        <f t="shared" si="12"/>
        <v>-1.6260162601625994E-2</v>
      </c>
      <c r="H309" s="14">
        <f t="shared" si="12"/>
        <v>-1.2797074954296161E-2</v>
      </c>
      <c r="I309" s="14">
        <f t="shared" si="12"/>
        <v>0</v>
      </c>
      <c r="J309" s="14">
        <f t="shared" si="12"/>
        <v>-3.4965034965035446E-3</v>
      </c>
      <c r="K309" s="14">
        <f t="shared" si="12"/>
        <v>2.5104602510460206E-2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35">
      <c r="A310" s="12">
        <v>44540</v>
      </c>
      <c r="B310" s="20">
        <v>12300</v>
      </c>
      <c r="C310" s="20">
        <v>27350</v>
      </c>
      <c r="D310" s="20">
        <v>9800</v>
      </c>
      <c r="E310" s="20">
        <v>28600</v>
      </c>
      <c r="F310" s="20">
        <v>23900</v>
      </c>
      <c r="G310" s="14">
        <f t="shared" si="12"/>
        <v>-8.0645161290322509E-3</v>
      </c>
      <c r="H310" s="14">
        <f t="shared" si="12"/>
        <v>1.2962962962963065E-2</v>
      </c>
      <c r="I310" s="14">
        <f t="shared" si="12"/>
        <v>0</v>
      </c>
      <c r="J310" s="14">
        <f t="shared" si="12"/>
        <v>1.7793594306049876E-2</v>
      </c>
      <c r="K310" s="14">
        <f t="shared" si="12"/>
        <v>1.7021276595744705E-2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35">
      <c r="A311" s="12">
        <v>44539</v>
      </c>
      <c r="B311" s="20">
        <v>12400</v>
      </c>
      <c r="C311" s="20">
        <v>27000</v>
      </c>
      <c r="D311" s="20">
        <v>9800</v>
      </c>
      <c r="E311" s="20">
        <v>28100</v>
      </c>
      <c r="F311" s="20">
        <v>23500</v>
      </c>
      <c r="G311" s="14">
        <f t="shared" si="12"/>
        <v>1.6393442622950838E-2</v>
      </c>
      <c r="H311" s="14">
        <f t="shared" si="12"/>
        <v>-1.098901098901095E-2</v>
      </c>
      <c r="I311" s="14">
        <f t="shared" si="12"/>
        <v>2.0833333333333259E-2</v>
      </c>
      <c r="J311" s="14">
        <f t="shared" si="12"/>
        <v>2.5547445255474477E-2</v>
      </c>
      <c r="K311" s="14">
        <f t="shared" si="12"/>
        <v>-1.6736401673640211E-2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35">
      <c r="A312" s="12">
        <v>44538</v>
      </c>
      <c r="B312" s="20">
        <v>12200</v>
      </c>
      <c r="C312" s="20">
        <v>27300</v>
      </c>
      <c r="D312" s="20">
        <v>9600</v>
      </c>
      <c r="E312" s="20">
        <v>27400</v>
      </c>
      <c r="F312" s="20">
        <v>23900</v>
      </c>
      <c r="G312" s="14">
        <f t="shared" si="12"/>
        <v>8.2644628099173278E-3</v>
      </c>
      <c r="H312" s="14">
        <f t="shared" si="12"/>
        <v>-1.8281535648994041E-3</v>
      </c>
      <c r="I312" s="14">
        <f t="shared" si="12"/>
        <v>2.1276595744680771E-2</v>
      </c>
      <c r="J312" s="14">
        <f t="shared" si="12"/>
        <v>3.3962264150943389E-2</v>
      </c>
      <c r="K312" s="14">
        <f t="shared" si="12"/>
        <v>-1.2396694214875992E-2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35">
      <c r="A313" s="12">
        <v>44537</v>
      </c>
      <c r="B313" s="20">
        <v>12100</v>
      </c>
      <c r="C313" s="20">
        <v>27350</v>
      </c>
      <c r="D313" s="20">
        <v>9400</v>
      </c>
      <c r="E313" s="20">
        <v>26500</v>
      </c>
      <c r="F313" s="20">
        <v>24200</v>
      </c>
      <c r="G313" s="14">
        <f t="shared" si="12"/>
        <v>8.3333333333333037E-3</v>
      </c>
      <c r="H313" s="14">
        <f t="shared" si="12"/>
        <v>1.2962962962963065E-2</v>
      </c>
      <c r="I313" s="14">
        <f t="shared" si="12"/>
        <v>0</v>
      </c>
      <c r="J313" s="14">
        <f t="shared" si="12"/>
        <v>-1.3035381750465591E-2</v>
      </c>
      <c r="K313" s="14">
        <f t="shared" si="12"/>
        <v>2.5423728813559254E-2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35">
      <c r="A314" s="12">
        <v>44536</v>
      </c>
      <c r="B314" s="20">
        <v>12000</v>
      </c>
      <c r="C314" s="20">
        <v>27000</v>
      </c>
      <c r="D314" s="20">
        <v>9400</v>
      </c>
      <c r="E314" s="20">
        <v>26850</v>
      </c>
      <c r="F314" s="20">
        <v>23600</v>
      </c>
      <c r="G314" s="14">
        <f t="shared" si="12"/>
        <v>8.4033613445377853E-3</v>
      </c>
      <c r="H314" s="14">
        <f t="shared" si="12"/>
        <v>1.5037593984962516E-2</v>
      </c>
      <c r="I314" s="14">
        <f t="shared" si="12"/>
        <v>0</v>
      </c>
      <c r="J314" s="14">
        <f t="shared" si="12"/>
        <v>1.8656716417910779E-3</v>
      </c>
      <c r="K314" s="14">
        <f t="shared" si="12"/>
        <v>-6.3157894736841635E-3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35">
      <c r="A315" s="12">
        <v>44533</v>
      </c>
      <c r="B315" s="20">
        <v>11900</v>
      </c>
      <c r="C315" s="20">
        <v>26600</v>
      </c>
      <c r="D315" s="20">
        <v>9400</v>
      </c>
      <c r="E315" s="20">
        <v>26800</v>
      </c>
      <c r="F315" s="20">
        <v>23750</v>
      </c>
      <c r="G315" s="14">
        <f t="shared" si="12"/>
        <v>1.7094017094017033E-2</v>
      </c>
      <c r="H315" s="14">
        <f t="shared" si="12"/>
        <v>7.575757575757569E-3</v>
      </c>
      <c r="I315" s="14">
        <f t="shared" si="12"/>
        <v>0</v>
      </c>
      <c r="J315" s="14">
        <f t="shared" si="12"/>
        <v>3.7453183520599342E-3</v>
      </c>
      <c r="K315" s="14">
        <f t="shared" si="12"/>
        <v>6.7415730337078594E-2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5">
      <c r="A316" s="12">
        <v>44532</v>
      </c>
      <c r="B316" s="20">
        <v>11700</v>
      </c>
      <c r="C316" s="20">
        <v>26400</v>
      </c>
      <c r="D316" s="20">
        <v>9400</v>
      </c>
      <c r="E316" s="20">
        <v>26700</v>
      </c>
      <c r="F316" s="20">
        <v>22250</v>
      </c>
      <c r="G316" s="14">
        <f t="shared" si="12"/>
        <v>2.6315789473684292E-2</v>
      </c>
      <c r="H316" s="14">
        <f t="shared" si="12"/>
        <v>7.6335877862594437E-3</v>
      </c>
      <c r="I316" s="14">
        <f t="shared" si="12"/>
        <v>-1.0526315789473717E-2</v>
      </c>
      <c r="J316" s="14">
        <f t="shared" si="12"/>
        <v>7.547169811320753E-3</v>
      </c>
      <c r="K316" s="14">
        <f t="shared" si="12"/>
        <v>6.9711538461538547E-2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35">
      <c r="A317" s="12">
        <v>44531</v>
      </c>
      <c r="B317" s="20">
        <v>11400</v>
      </c>
      <c r="C317" s="20">
        <v>26200</v>
      </c>
      <c r="D317" s="20">
        <v>9500</v>
      </c>
      <c r="E317" s="20">
        <v>26500</v>
      </c>
      <c r="F317" s="20">
        <v>20800</v>
      </c>
      <c r="G317" s="14">
        <f t="shared" si="12"/>
        <v>8.8495575221239076E-3</v>
      </c>
      <c r="H317" s="14">
        <f t="shared" si="12"/>
        <v>3.9682539682539764E-2</v>
      </c>
      <c r="I317" s="14">
        <f t="shared" si="12"/>
        <v>4.3956043956044022E-2</v>
      </c>
      <c r="J317" s="14">
        <f t="shared" si="12"/>
        <v>0</v>
      </c>
      <c r="K317" s="14">
        <f t="shared" si="12"/>
        <v>-2.3980815347721673E-3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35">
      <c r="A318" s="12">
        <v>44530</v>
      </c>
      <c r="B318" s="20">
        <v>11300</v>
      </c>
      <c r="C318" s="20">
        <v>25200</v>
      </c>
      <c r="D318" s="20">
        <v>9100</v>
      </c>
      <c r="E318" s="20">
        <v>26500</v>
      </c>
      <c r="F318" s="20">
        <v>20850</v>
      </c>
      <c r="G318" s="14">
        <f t="shared" si="12"/>
        <v>5.6074766355140193E-2</v>
      </c>
      <c r="H318" s="14">
        <f t="shared" si="12"/>
        <v>2.857142857142847E-2</v>
      </c>
      <c r="I318" s="14">
        <f t="shared" si="12"/>
        <v>1.1111111111111072E-2</v>
      </c>
      <c r="J318" s="14">
        <f t="shared" si="12"/>
        <v>3.7878787878788955E-3</v>
      </c>
      <c r="K318" s="14">
        <f t="shared" si="12"/>
        <v>3.473945409429291E-2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5">
      <c r="A319" s="12">
        <v>44529</v>
      </c>
      <c r="B319" s="20">
        <v>10700</v>
      </c>
      <c r="C319" s="20">
        <v>24500</v>
      </c>
      <c r="D319" s="20">
        <v>9000</v>
      </c>
      <c r="E319" s="20">
        <v>26400</v>
      </c>
      <c r="F319" s="20">
        <v>20150</v>
      </c>
      <c r="G319" s="14">
        <f t="shared" si="12"/>
        <v>-1.834862385321101E-2</v>
      </c>
      <c r="H319" s="14">
        <f t="shared" si="12"/>
        <v>-1.2096774193548376E-2</v>
      </c>
      <c r="I319" s="14">
        <f t="shared" si="12"/>
        <v>-1.098901098901095E-2</v>
      </c>
      <c r="J319" s="14">
        <f t="shared" si="12"/>
        <v>3.8022813688212143E-3</v>
      </c>
      <c r="K319" s="14">
        <f t="shared" si="12"/>
        <v>2.5445292620865034E-2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35">
      <c r="A320" s="12">
        <v>44526</v>
      </c>
      <c r="B320" s="20">
        <v>10900</v>
      </c>
      <c r="C320" s="20">
        <v>24800</v>
      </c>
      <c r="D320" s="20">
        <v>9100</v>
      </c>
      <c r="E320" s="20">
        <v>26300</v>
      </c>
      <c r="F320" s="20">
        <v>19650</v>
      </c>
      <c r="G320" s="14">
        <f t="shared" si="12"/>
        <v>9.2592592592593004E-3</v>
      </c>
      <c r="H320" s="14">
        <f t="shared" si="12"/>
        <v>3.3333333333333437E-2</v>
      </c>
      <c r="I320" s="14">
        <f t="shared" si="12"/>
        <v>-1.0869565217391353E-2</v>
      </c>
      <c r="J320" s="14">
        <f t="shared" si="12"/>
        <v>-1.8656716417910446E-2</v>
      </c>
      <c r="K320" s="14">
        <f t="shared" si="12"/>
        <v>4.5212765957446832E-2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35">
      <c r="A321" s="12">
        <v>44525</v>
      </c>
      <c r="B321" s="20">
        <v>10800</v>
      </c>
      <c r="C321" s="20">
        <v>24000</v>
      </c>
      <c r="D321" s="20">
        <v>9200</v>
      </c>
      <c r="E321" s="20">
        <v>26800</v>
      </c>
      <c r="F321" s="20">
        <v>18800</v>
      </c>
      <c r="G321" s="14">
        <f t="shared" si="12"/>
        <v>-4.4247787610619427E-2</v>
      </c>
      <c r="H321" s="14">
        <f t="shared" si="12"/>
        <v>-5.6974459724950854E-2</v>
      </c>
      <c r="I321" s="14">
        <f t="shared" si="12"/>
        <v>-2.1276595744680882E-2</v>
      </c>
      <c r="J321" s="14">
        <f t="shared" si="12"/>
        <v>1.9011406844106515E-2</v>
      </c>
      <c r="K321" s="14">
        <f t="shared" si="12"/>
        <v>-2.083333333333337E-2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35">
      <c r="A322" s="12">
        <v>44524</v>
      </c>
      <c r="B322" s="20">
        <v>11300</v>
      </c>
      <c r="C322" s="20">
        <v>25450</v>
      </c>
      <c r="D322" s="20">
        <v>9400</v>
      </c>
      <c r="E322" s="20">
        <v>26300</v>
      </c>
      <c r="F322" s="20">
        <v>19200</v>
      </c>
      <c r="G322" s="14">
        <f t="shared" si="12"/>
        <v>4.629629629629628E-2</v>
      </c>
      <c r="H322" s="14">
        <f t="shared" si="12"/>
        <v>5.6016597510373467E-2</v>
      </c>
      <c r="I322" s="14">
        <f t="shared" si="12"/>
        <v>4.4444444444444509E-2</v>
      </c>
      <c r="J322" s="14">
        <f t="shared" si="12"/>
        <v>1.1538461538461497E-2</v>
      </c>
      <c r="K322" s="14">
        <f t="shared" si="12"/>
        <v>1.5873015873015817E-2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5">
      <c r="A323" s="12">
        <v>44523</v>
      </c>
      <c r="B323" s="20">
        <v>10800</v>
      </c>
      <c r="C323" s="20">
        <v>24100</v>
      </c>
      <c r="D323" s="20">
        <v>9000</v>
      </c>
      <c r="E323" s="20">
        <v>26000</v>
      </c>
      <c r="F323" s="20">
        <v>18900</v>
      </c>
      <c r="G323" s="14">
        <f t="shared" ref="G323:K373" si="13">B323/B324-1</f>
        <v>-8.4745762711864403E-2</v>
      </c>
      <c r="H323" s="14">
        <f t="shared" si="13"/>
        <v>-6.949806949806947E-2</v>
      </c>
      <c r="I323" s="14">
        <f t="shared" si="13"/>
        <v>-5.2631578947368474E-2</v>
      </c>
      <c r="J323" s="14">
        <f t="shared" si="13"/>
        <v>-1.8867924528301883E-2</v>
      </c>
      <c r="K323" s="14">
        <f t="shared" si="13"/>
        <v>6.7796610169491567E-2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35">
      <c r="A324" s="12">
        <v>44522</v>
      </c>
      <c r="B324" s="20">
        <v>11800</v>
      </c>
      <c r="C324" s="20">
        <v>25900</v>
      </c>
      <c r="D324" s="20">
        <v>9500</v>
      </c>
      <c r="E324" s="20">
        <v>26500</v>
      </c>
      <c r="F324" s="20">
        <v>17700</v>
      </c>
      <c r="G324" s="14">
        <f t="shared" si="13"/>
        <v>-5.600000000000005E-2</v>
      </c>
      <c r="H324" s="14">
        <f t="shared" si="13"/>
        <v>-4.4280442804428E-2</v>
      </c>
      <c r="I324" s="14">
        <f t="shared" si="13"/>
        <v>-5.0000000000000044E-2</v>
      </c>
      <c r="J324" s="14">
        <f t="shared" si="13"/>
        <v>-1.4869888475836479E-2</v>
      </c>
      <c r="K324" s="14">
        <f t="shared" si="13"/>
        <v>-1.939058171745156E-2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5">
      <c r="A325" s="12">
        <v>44519</v>
      </c>
      <c r="B325" s="20">
        <v>12500</v>
      </c>
      <c r="C325" s="20">
        <v>27100</v>
      </c>
      <c r="D325" s="20">
        <v>10000</v>
      </c>
      <c r="E325" s="20">
        <v>26900</v>
      </c>
      <c r="F325" s="20">
        <v>18050</v>
      </c>
      <c r="G325" s="14">
        <f t="shared" si="13"/>
        <v>1.6260162601626105E-2</v>
      </c>
      <c r="H325" s="14">
        <f t="shared" si="13"/>
        <v>-1.0948905109489093E-2</v>
      </c>
      <c r="I325" s="14">
        <f t="shared" si="13"/>
        <v>0</v>
      </c>
      <c r="J325" s="14">
        <f t="shared" si="13"/>
        <v>3.7313432835821558E-3</v>
      </c>
      <c r="K325" s="14">
        <f t="shared" si="13"/>
        <v>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35">
      <c r="A326" s="12">
        <v>44518</v>
      </c>
      <c r="B326" s="20">
        <v>12300</v>
      </c>
      <c r="C326" s="20">
        <v>27400</v>
      </c>
      <c r="D326" s="20">
        <v>10000</v>
      </c>
      <c r="E326" s="20">
        <v>26800</v>
      </c>
      <c r="F326" s="20">
        <v>18050</v>
      </c>
      <c r="G326" s="14">
        <f t="shared" si="13"/>
        <v>0</v>
      </c>
      <c r="H326" s="14">
        <f t="shared" si="13"/>
        <v>-3.6363636363636598E-3</v>
      </c>
      <c r="I326" s="14">
        <f t="shared" si="13"/>
        <v>-9.9009900990099098E-3</v>
      </c>
      <c r="J326" s="14">
        <f t="shared" si="13"/>
        <v>5.6285178236397115E-3</v>
      </c>
      <c r="K326" s="14">
        <f t="shared" si="13"/>
        <v>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35">
      <c r="A327" s="12">
        <v>44517</v>
      </c>
      <c r="B327" s="20">
        <v>12300</v>
      </c>
      <c r="C327" s="20">
        <v>27500</v>
      </c>
      <c r="D327" s="20">
        <v>10100</v>
      </c>
      <c r="E327" s="20">
        <v>26650</v>
      </c>
      <c r="F327" s="20">
        <v>18050</v>
      </c>
      <c r="G327" s="14">
        <f t="shared" si="13"/>
        <v>0</v>
      </c>
      <c r="H327" s="14">
        <f t="shared" si="13"/>
        <v>7.3260073260073E-3</v>
      </c>
      <c r="I327" s="14">
        <f t="shared" si="13"/>
        <v>-1.9417475728155331E-2</v>
      </c>
      <c r="J327" s="14">
        <f t="shared" si="13"/>
        <v>5.6603773584906758E-3</v>
      </c>
      <c r="K327" s="14">
        <f t="shared" si="13"/>
        <v>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35">
      <c r="A328" s="12">
        <v>44516</v>
      </c>
      <c r="B328" s="20">
        <v>12300</v>
      </c>
      <c r="C328" s="20">
        <v>27300</v>
      </c>
      <c r="D328" s="20">
        <v>10300</v>
      </c>
      <c r="E328" s="20">
        <v>26500</v>
      </c>
      <c r="F328" s="20">
        <v>18050</v>
      </c>
      <c r="G328" s="14">
        <f t="shared" si="13"/>
        <v>-1.6000000000000014E-2</v>
      </c>
      <c r="H328" s="14">
        <f t="shared" si="13"/>
        <v>-3.703703703703709E-2</v>
      </c>
      <c r="I328" s="14">
        <f t="shared" si="13"/>
        <v>9.8039215686274161E-3</v>
      </c>
      <c r="J328" s="14">
        <f t="shared" si="13"/>
        <v>-3.7593984962406291E-3</v>
      </c>
      <c r="K328" s="14">
        <f t="shared" si="13"/>
        <v>-5.5096418732781816E-3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35">
      <c r="A329" s="12">
        <v>44515</v>
      </c>
      <c r="B329" s="20">
        <v>12500</v>
      </c>
      <c r="C329" s="20">
        <v>28350</v>
      </c>
      <c r="D329" s="20">
        <v>10200</v>
      </c>
      <c r="E329" s="20">
        <v>26600</v>
      </c>
      <c r="F329" s="20">
        <v>18150</v>
      </c>
      <c r="G329" s="14">
        <f t="shared" si="13"/>
        <v>-7.9365079365079083E-3</v>
      </c>
      <c r="H329" s="14">
        <f t="shared" si="13"/>
        <v>3.0909090909090997E-2</v>
      </c>
      <c r="I329" s="14">
        <f t="shared" si="13"/>
        <v>2.0000000000000018E-2</v>
      </c>
      <c r="J329" s="14">
        <f t="shared" si="13"/>
        <v>-3.7453183520599342E-3</v>
      </c>
      <c r="K329" s="14">
        <f t="shared" si="13"/>
        <v>-2.7472527472527375E-3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35">
      <c r="A330" s="12">
        <v>44512</v>
      </c>
      <c r="B330" s="20">
        <v>12600</v>
      </c>
      <c r="C330" s="20">
        <v>27500</v>
      </c>
      <c r="D330" s="20">
        <v>10000</v>
      </c>
      <c r="E330" s="20">
        <v>26700</v>
      </c>
      <c r="F330" s="20">
        <v>18200</v>
      </c>
      <c r="G330" s="14">
        <f t="shared" si="13"/>
        <v>1.6129032258064502E-2</v>
      </c>
      <c r="H330" s="14">
        <f t="shared" si="13"/>
        <v>-3.6231884057971175E-3</v>
      </c>
      <c r="I330" s="14">
        <f t="shared" si="13"/>
        <v>-9.9009900990099098E-3</v>
      </c>
      <c r="J330" s="14">
        <f t="shared" si="13"/>
        <v>3.759398496240518E-3</v>
      </c>
      <c r="K330" s="14">
        <f t="shared" si="13"/>
        <v>-2.739726027397249E-3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35">
      <c r="A331" s="12">
        <v>44511</v>
      </c>
      <c r="B331" s="20">
        <v>12400</v>
      </c>
      <c r="C331" s="20">
        <v>27600</v>
      </c>
      <c r="D331" s="20">
        <v>10100</v>
      </c>
      <c r="E331" s="20">
        <v>26600</v>
      </c>
      <c r="F331" s="20">
        <v>18250</v>
      </c>
      <c r="G331" s="14">
        <f t="shared" si="13"/>
        <v>0</v>
      </c>
      <c r="H331" s="14">
        <f t="shared" si="13"/>
        <v>1.4705882352941124E-2</v>
      </c>
      <c r="I331" s="14">
        <f t="shared" si="13"/>
        <v>0</v>
      </c>
      <c r="J331" s="14">
        <f t="shared" si="13"/>
        <v>7.575757575757569E-3</v>
      </c>
      <c r="K331" s="14">
        <f t="shared" si="13"/>
        <v>1.1080332409972193E-2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35">
      <c r="A332" s="12">
        <v>44510</v>
      </c>
      <c r="B332" s="20">
        <v>12400</v>
      </c>
      <c r="C332" s="20">
        <v>27200</v>
      </c>
      <c r="D332" s="20">
        <v>10100</v>
      </c>
      <c r="E332" s="20">
        <v>26400</v>
      </c>
      <c r="F332" s="20">
        <v>18050</v>
      </c>
      <c r="G332" s="14">
        <f t="shared" si="13"/>
        <v>0</v>
      </c>
      <c r="H332" s="14">
        <f t="shared" si="13"/>
        <v>-7.2992700729926918E-3</v>
      </c>
      <c r="I332" s="14">
        <f t="shared" si="13"/>
        <v>2.020202020202011E-2</v>
      </c>
      <c r="J332" s="14">
        <f t="shared" si="13"/>
        <v>0</v>
      </c>
      <c r="K332" s="14">
        <f t="shared" si="13"/>
        <v>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35">
      <c r="A333" s="12">
        <v>44509</v>
      </c>
      <c r="B333" s="20">
        <v>12400</v>
      </c>
      <c r="C333" s="20">
        <v>27400</v>
      </c>
      <c r="D333" s="20">
        <v>9900</v>
      </c>
      <c r="E333" s="20">
        <v>26400</v>
      </c>
      <c r="F333" s="20">
        <v>18050</v>
      </c>
      <c r="G333" s="14">
        <f t="shared" si="13"/>
        <v>0</v>
      </c>
      <c r="H333" s="14">
        <f t="shared" si="13"/>
        <v>-1.8214936247723523E-3</v>
      </c>
      <c r="I333" s="14">
        <f t="shared" si="13"/>
        <v>1.0204081632652962E-2</v>
      </c>
      <c r="J333" s="14">
        <f t="shared" si="13"/>
        <v>-3.7735849056603765E-3</v>
      </c>
      <c r="K333" s="14">
        <f t="shared" si="13"/>
        <v>-1.0958904109588996E-2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35">
      <c r="A334" s="12">
        <v>44508</v>
      </c>
      <c r="B334" s="20">
        <v>12400</v>
      </c>
      <c r="C334" s="20">
        <v>27450</v>
      </c>
      <c r="D334" s="20">
        <v>9800</v>
      </c>
      <c r="E334" s="20">
        <v>26500</v>
      </c>
      <c r="F334" s="20">
        <v>18250</v>
      </c>
      <c r="G334" s="14">
        <f t="shared" si="13"/>
        <v>-8.0000000000000071E-3</v>
      </c>
      <c r="H334" s="14">
        <f t="shared" si="13"/>
        <v>0</v>
      </c>
      <c r="I334" s="14">
        <f t="shared" si="13"/>
        <v>-1.0101010101010055E-2</v>
      </c>
      <c r="J334" s="14">
        <f t="shared" si="13"/>
        <v>-7.4906367041198685E-3</v>
      </c>
      <c r="K334" s="14">
        <f t="shared" si="13"/>
        <v>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35">
      <c r="A335" s="12">
        <v>44505</v>
      </c>
      <c r="B335" s="20">
        <v>12500</v>
      </c>
      <c r="C335" s="20">
        <v>27450</v>
      </c>
      <c r="D335" s="20">
        <v>9900</v>
      </c>
      <c r="E335" s="20">
        <v>26700</v>
      </c>
      <c r="F335" s="20">
        <v>18250</v>
      </c>
      <c r="G335" s="14">
        <f t="shared" si="13"/>
        <v>1.6260162601626105E-2</v>
      </c>
      <c r="H335" s="14">
        <f t="shared" si="13"/>
        <v>1.4787430683918634E-2</v>
      </c>
      <c r="I335" s="14">
        <f t="shared" si="13"/>
        <v>2.0618556701030855E-2</v>
      </c>
      <c r="J335" s="14">
        <f t="shared" si="13"/>
        <v>7.547169811320753E-3</v>
      </c>
      <c r="K335" s="14">
        <f t="shared" si="13"/>
        <v>1.1080332409972193E-2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35">
      <c r="A336" s="12">
        <v>44504</v>
      </c>
      <c r="B336" s="20">
        <v>12300</v>
      </c>
      <c r="C336" s="20">
        <v>27050</v>
      </c>
      <c r="D336" s="20">
        <v>9700</v>
      </c>
      <c r="E336" s="20">
        <v>26500</v>
      </c>
      <c r="F336" s="20">
        <v>18050</v>
      </c>
      <c r="G336" s="14">
        <f t="shared" si="13"/>
        <v>-8.0645161290322509E-3</v>
      </c>
      <c r="H336" s="14">
        <f t="shared" si="13"/>
        <v>-5.5147058823529216E-3</v>
      </c>
      <c r="I336" s="14">
        <f t="shared" si="13"/>
        <v>0</v>
      </c>
      <c r="J336" s="14">
        <f t="shared" si="13"/>
        <v>-3.7593984962406291E-3</v>
      </c>
      <c r="K336" s="14">
        <f t="shared" si="13"/>
        <v>-2.7624309392265678E-3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35">
      <c r="A337" s="12">
        <v>44503</v>
      </c>
      <c r="B337" s="20">
        <v>12400</v>
      </c>
      <c r="C337" s="20">
        <v>27200</v>
      </c>
      <c r="D337" s="20">
        <v>9700</v>
      </c>
      <c r="E337" s="20">
        <v>26600</v>
      </c>
      <c r="F337" s="20">
        <v>18100</v>
      </c>
      <c r="G337" s="14">
        <f t="shared" si="13"/>
        <v>0</v>
      </c>
      <c r="H337" s="14">
        <f t="shared" si="13"/>
        <v>1.8726591760299671E-2</v>
      </c>
      <c r="I337" s="14">
        <f t="shared" si="13"/>
        <v>0</v>
      </c>
      <c r="J337" s="14">
        <f t="shared" si="13"/>
        <v>-1.4814814814814836E-2</v>
      </c>
      <c r="K337" s="14">
        <f t="shared" si="13"/>
        <v>5.5555555555555358E-3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5">
      <c r="A338" s="12">
        <v>44502</v>
      </c>
      <c r="B338" s="20">
        <v>12400</v>
      </c>
      <c r="C338" s="20">
        <v>26700</v>
      </c>
      <c r="D338" s="20">
        <v>9700</v>
      </c>
      <c r="E338" s="20">
        <v>27000</v>
      </c>
      <c r="F338" s="20">
        <v>18000</v>
      </c>
      <c r="G338" s="14">
        <f t="shared" si="13"/>
        <v>2.4793388429751984E-2</v>
      </c>
      <c r="H338" s="14">
        <f t="shared" si="13"/>
        <v>1.5209125475285079E-2</v>
      </c>
      <c r="I338" s="14">
        <f t="shared" si="13"/>
        <v>0</v>
      </c>
      <c r="J338" s="14">
        <f t="shared" si="13"/>
        <v>3.7174721189590088E-3</v>
      </c>
      <c r="K338" s="14">
        <f t="shared" si="13"/>
        <v>2.2727272727272707E-2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35">
      <c r="A339" s="12">
        <v>44501</v>
      </c>
      <c r="B339" s="20">
        <v>12100</v>
      </c>
      <c r="C339" s="20">
        <v>26300</v>
      </c>
      <c r="D339" s="20">
        <v>9700</v>
      </c>
      <c r="E339" s="20">
        <v>26900</v>
      </c>
      <c r="F339" s="20">
        <v>17600</v>
      </c>
      <c r="G339" s="14">
        <f t="shared" si="13"/>
        <v>0</v>
      </c>
      <c r="H339" s="14">
        <f t="shared" si="13"/>
        <v>-1.8975332068311701E-3</v>
      </c>
      <c r="I339" s="14">
        <f t="shared" si="13"/>
        <v>1.0416666666666741E-2</v>
      </c>
      <c r="J339" s="14">
        <f t="shared" si="13"/>
        <v>-1.1029411764705843E-2</v>
      </c>
      <c r="K339" s="14">
        <f t="shared" si="13"/>
        <v>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5">
      <c r="A340" s="12">
        <v>44498</v>
      </c>
      <c r="B340" s="20">
        <v>12100</v>
      </c>
      <c r="C340" s="20">
        <v>26350</v>
      </c>
      <c r="D340" s="20">
        <v>9600</v>
      </c>
      <c r="E340" s="20">
        <v>27200</v>
      </c>
      <c r="F340" s="20">
        <v>17600</v>
      </c>
      <c r="G340" s="14">
        <f t="shared" si="13"/>
        <v>-8.1967213114754189E-3</v>
      </c>
      <c r="H340" s="14">
        <f t="shared" si="13"/>
        <v>5.7251908396946938E-3</v>
      </c>
      <c r="I340" s="14">
        <f t="shared" si="13"/>
        <v>1.0526315789473717E-2</v>
      </c>
      <c r="J340" s="14">
        <f t="shared" si="13"/>
        <v>-3.66300366300365E-3</v>
      </c>
      <c r="K340" s="14">
        <f t="shared" si="13"/>
        <v>2.8490028490029129E-3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5">
      <c r="A341" s="12">
        <v>44497</v>
      </c>
      <c r="B341" s="20">
        <v>12200</v>
      </c>
      <c r="C341" s="20">
        <v>26200</v>
      </c>
      <c r="D341" s="20">
        <v>9500</v>
      </c>
      <c r="E341" s="20">
        <v>27300</v>
      </c>
      <c r="F341" s="20">
        <v>17550</v>
      </c>
      <c r="G341" s="14">
        <f t="shared" si="13"/>
        <v>2.5210084033613356E-2</v>
      </c>
      <c r="H341" s="14">
        <f t="shared" si="13"/>
        <v>1.5503875968992276E-2</v>
      </c>
      <c r="I341" s="14">
        <f t="shared" si="13"/>
        <v>-2.0618556701030966E-2</v>
      </c>
      <c r="J341" s="14">
        <f t="shared" si="13"/>
        <v>3.6764705882352811E-3</v>
      </c>
      <c r="K341" s="14">
        <f t="shared" si="13"/>
        <v>2.0348837209302362E-2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35">
      <c r="A342" s="12">
        <v>44496</v>
      </c>
      <c r="B342" s="20">
        <v>11900</v>
      </c>
      <c r="C342" s="20">
        <v>25800</v>
      </c>
      <c r="D342" s="20">
        <v>9700</v>
      </c>
      <c r="E342" s="20">
        <v>27200</v>
      </c>
      <c r="F342" s="20">
        <v>17200</v>
      </c>
      <c r="G342" s="14">
        <f t="shared" si="13"/>
        <v>-8.3333333333333037E-3</v>
      </c>
      <c r="H342" s="14">
        <f t="shared" si="13"/>
        <v>-5.4945054945054972E-2</v>
      </c>
      <c r="I342" s="14">
        <f t="shared" si="13"/>
        <v>-2.0202020202020221E-2</v>
      </c>
      <c r="J342" s="14">
        <f t="shared" si="13"/>
        <v>0</v>
      </c>
      <c r="K342" s="14">
        <f t="shared" si="13"/>
        <v>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35">
      <c r="A343" s="12">
        <v>44495</v>
      </c>
      <c r="B343" s="20">
        <v>12000</v>
      </c>
      <c r="C343" s="20">
        <v>27300</v>
      </c>
      <c r="D343" s="20">
        <v>9900</v>
      </c>
      <c r="E343" s="20">
        <v>27200</v>
      </c>
      <c r="F343" s="20">
        <v>17200</v>
      </c>
      <c r="G343" s="14">
        <f t="shared" si="13"/>
        <v>-3.2258064516129004E-2</v>
      </c>
      <c r="H343" s="14">
        <f t="shared" si="13"/>
        <v>-5.3726169844020788E-2</v>
      </c>
      <c r="I343" s="14">
        <f t="shared" si="13"/>
        <v>-1.980198019801982E-2</v>
      </c>
      <c r="J343" s="14">
        <f t="shared" si="13"/>
        <v>-2.1582733812949617E-2</v>
      </c>
      <c r="K343" s="14">
        <f t="shared" si="13"/>
        <v>-5.7534246575342451E-2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35">
      <c r="A344" s="12">
        <v>44494</v>
      </c>
      <c r="B344" s="20">
        <v>12400</v>
      </c>
      <c r="C344" s="20">
        <v>28850</v>
      </c>
      <c r="D344" s="20">
        <v>10100</v>
      </c>
      <c r="E344" s="20">
        <v>27800</v>
      </c>
      <c r="F344" s="20">
        <v>18250</v>
      </c>
      <c r="G344" s="14">
        <f t="shared" si="13"/>
        <v>0</v>
      </c>
      <c r="H344" s="14">
        <f t="shared" si="13"/>
        <v>-2.2033898305084731E-2</v>
      </c>
      <c r="I344" s="14">
        <f t="shared" si="13"/>
        <v>-9.8039215686274161E-3</v>
      </c>
      <c r="J344" s="14">
        <f t="shared" si="13"/>
        <v>0</v>
      </c>
      <c r="K344" s="14">
        <f t="shared" si="13"/>
        <v>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5">
      <c r="A345" s="12">
        <v>44491</v>
      </c>
      <c r="B345" s="20">
        <v>12400</v>
      </c>
      <c r="C345" s="20">
        <v>29500</v>
      </c>
      <c r="D345" s="20">
        <v>10200</v>
      </c>
      <c r="E345" s="20">
        <v>27800</v>
      </c>
      <c r="F345" s="20">
        <v>18250</v>
      </c>
      <c r="G345" s="14">
        <f t="shared" si="13"/>
        <v>-8.0000000000000071E-3</v>
      </c>
      <c r="H345" s="14">
        <f t="shared" si="13"/>
        <v>-1.6666666666666718E-2</v>
      </c>
      <c r="I345" s="14">
        <f t="shared" si="13"/>
        <v>9.9009900990099098E-3</v>
      </c>
      <c r="J345" s="14">
        <f t="shared" si="13"/>
        <v>-1.0676156583629859E-2</v>
      </c>
      <c r="K345" s="14">
        <f t="shared" si="13"/>
        <v>-1.3513513513513487E-2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35">
      <c r="A346" s="12">
        <v>44490</v>
      </c>
      <c r="B346" s="20">
        <v>12500</v>
      </c>
      <c r="C346" s="20">
        <v>30000</v>
      </c>
      <c r="D346" s="20">
        <v>10100</v>
      </c>
      <c r="E346" s="20">
        <v>28100</v>
      </c>
      <c r="F346" s="20">
        <v>18500</v>
      </c>
      <c r="G346" s="14">
        <f t="shared" si="13"/>
        <v>-2.34375E-2</v>
      </c>
      <c r="H346" s="14">
        <f t="shared" si="13"/>
        <v>-1.8003273322422242E-2</v>
      </c>
      <c r="I346" s="14">
        <f t="shared" si="13"/>
        <v>-2.8846153846153855E-2</v>
      </c>
      <c r="J346" s="14">
        <f t="shared" si="13"/>
        <v>2.3679417122040025E-2</v>
      </c>
      <c r="K346" s="14">
        <f t="shared" si="13"/>
        <v>-1.5957446808510634E-2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35">
      <c r="A347" s="12">
        <v>44489</v>
      </c>
      <c r="B347" s="20">
        <v>12800</v>
      </c>
      <c r="C347" s="20">
        <v>30550</v>
      </c>
      <c r="D347" s="20">
        <v>10400</v>
      </c>
      <c r="E347" s="20">
        <v>27450</v>
      </c>
      <c r="F347" s="20">
        <v>18800</v>
      </c>
      <c r="G347" s="14">
        <f t="shared" si="13"/>
        <v>7.8740157480314821E-3</v>
      </c>
      <c r="H347" s="14">
        <f t="shared" si="13"/>
        <v>-8.116883116883078E-3</v>
      </c>
      <c r="I347" s="14">
        <f t="shared" si="13"/>
        <v>2.9702970297029729E-2</v>
      </c>
      <c r="J347" s="14">
        <f t="shared" si="13"/>
        <v>1.8248175182482562E-3</v>
      </c>
      <c r="K347" s="14">
        <f t="shared" si="13"/>
        <v>5.3475935828877219E-3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5">
      <c r="A348" s="12">
        <v>44488</v>
      </c>
      <c r="B348" s="20">
        <v>12700</v>
      </c>
      <c r="C348" s="20">
        <v>30800</v>
      </c>
      <c r="D348" s="20">
        <v>10100</v>
      </c>
      <c r="E348" s="20">
        <v>27400</v>
      </c>
      <c r="F348" s="20">
        <v>18700</v>
      </c>
      <c r="G348" s="14">
        <f t="shared" si="13"/>
        <v>0</v>
      </c>
      <c r="H348" s="14">
        <f t="shared" si="13"/>
        <v>1.650165016501659E-2</v>
      </c>
      <c r="I348" s="14">
        <f t="shared" si="13"/>
        <v>1.0000000000000009E-2</v>
      </c>
      <c r="J348" s="14">
        <f t="shared" si="13"/>
        <v>0</v>
      </c>
      <c r="K348" s="14">
        <f t="shared" si="13"/>
        <v>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35">
      <c r="A349" s="12">
        <v>44487</v>
      </c>
      <c r="B349" s="20">
        <v>12700</v>
      </c>
      <c r="C349" s="20">
        <v>30300</v>
      </c>
      <c r="D349" s="20">
        <v>10000</v>
      </c>
      <c r="E349" s="20">
        <v>27400</v>
      </c>
      <c r="F349" s="20">
        <v>18700</v>
      </c>
      <c r="G349" s="14">
        <f t="shared" si="13"/>
        <v>3.2520325203251987E-2</v>
      </c>
      <c r="H349" s="14">
        <f t="shared" si="13"/>
        <v>5.2083333333333259E-2</v>
      </c>
      <c r="I349" s="14">
        <f t="shared" si="13"/>
        <v>2.0408163265306145E-2</v>
      </c>
      <c r="J349" s="14">
        <f t="shared" si="13"/>
        <v>1.1070110701107083E-2</v>
      </c>
      <c r="K349" s="14">
        <f t="shared" si="13"/>
        <v>2.1857923497267784E-2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5">
      <c r="A350" s="12">
        <v>44484</v>
      </c>
      <c r="B350" s="20">
        <v>12300</v>
      </c>
      <c r="C350" s="20">
        <v>28800</v>
      </c>
      <c r="D350" s="20">
        <v>9800</v>
      </c>
      <c r="E350" s="20">
        <v>27100</v>
      </c>
      <c r="F350" s="20">
        <v>18300</v>
      </c>
      <c r="G350" s="14">
        <f t="shared" si="13"/>
        <v>-8.0645161290322509E-3</v>
      </c>
      <c r="H350" s="14">
        <f t="shared" si="13"/>
        <v>0</v>
      </c>
      <c r="I350" s="14">
        <f t="shared" si="13"/>
        <v>0</v>
      </c>
      <c r="J350" s="14">
        <f t="shared" si="13"/>
        <v>0</v>
      </c>
      <c r="K350" s="14">
        <f t="shared" si="13"/>
        <v>5.494505494505475E-3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35">
      <c r="A351" s="12">
        <v>44483</v>
      </c>
      <c r="B351" s="20">
        <v>12400</v>
      </c>
      <c r="C351" s="20">
        <v>28800</v>
      </c>
      <c r="D351" s="20">
        <v>9800</v>
      </c>
      <c r="E351" s="20">
        <v>27100</v>
      </c>
      <c r="F351" s="20">
        <v>18200</v>
      </c>
      <c r="G351" s="14">
        <f t="shared" si="13"/>
        <v>8.1300813008129413E-3</v>
      </c>
      <c r="H351" s="14">
        <f t="shared" si="13"/>
        <v>4.7272727272727355E-2</v>
      </c>
      <c r="I351" s="14">
        <f t="shared" si="13"/>
        <v>0</v>
      </c>
      <c r="J351" s="14">
        <f t="shared" si="13"/>
        <v>0</v>
      </c>
      <c r="K351" s="14">
        <f t="shared" si="13"/>
        <v>-5.464480874316946E-3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35">
      <c r="A352" s="12">
        <v>44482</v>
      </c>
      <c r="B352" s="20">
        <v>12300</v>
      </c>
      <c r="C352" s="20">
        <v>27500</v>
      </c>
      <c r="D352" s="20">
        <v>9800</v>
      </c>
      <c r="E352" s="20">
        <v>27100</v>
      </c>
      <c r="F352" s="20">
        <v>18300</v>
      </c>
      <c r="G352" s="14">
        <f t="shared" si="13"/>
        <v>3.3613445378151363E-2</v>
      </c>
      <c r="H352" s="14">
        <f t="shared" si="13"/>
        <v>4.961832061068705E-2</v>
      </c>
      <c r="I352" s="14">
        <f t="shared" si="13"/>
        <v>3.1578947368421151E-2</v>
      </c>
      <c r="J352" s="14">
        <f t="shared" si="13"/>
        <v>7.4349442379182396E-3</v>
      </c>
      <c r="K352" s="14">
        <f t="shared" si="13"/>
        <v>1.6666666666666607E-2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35">
      <c r="A353" s="12">
        <v>44481</v>
      </c>
      <c r="B353" s="20">
        <v>11900</v>
      </c>
      <c r="C353" s="20">
        <v>26200</v>
      </c>
      <c r="D353" s="20">
        <v>9500</v>
      </c>
      <c r="E353" s="20">
        <v>26900</v>
      </c>
      <c r="F353" s="20">
        <v>18000</v>
      </c>
      <c r="G353" s="14">
        <f t="shared" si="13"/>
        <v>-4.8000000000000043E-2</v>
      </c>
      <c r="H353" s="14">
        <f t="shared" si="13"/>
        <v>-2.0560747663551426E-2</v>
      </c>
      <c r="I353" s="14">
        <f t="shared" si="13"/>
        <v>-5.9405940594059459E-2</v>
      </c>
      <c r="J353" s="14">
        <f t="shared" si="13"/>
        <v>-7.3800738007380184E-3</v>
      </c>
      <c r="K353" s="14">
        <f t="shared" si="13"/>
        <v>-5.2631578947368474E-2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35">
      <c r="A354" s="12">
        <v>44480</v>
      </c>
      <c r="B354" s="20">
        <v>12500</v>
      </c>
      <c r="C354" s="20">
        <v>26750</v>
      </c>
      <c r="D354" s="20">
        <v>10100</v>
      </c>
      <c r="E354" s="20">
        <v>27100</v>
      </c>
      <c r="F354" s="20">
        <v>19000</v>
      </c>
      <c r="G354" s="14">
        <f t="shared" si="13"/>
        <v>0</v>
      </c>
      <c r="H354" s="14">
        <f t="shared" si="13"/>
        <v>-7.4211502782931538E-3</v>
      </c>
      <c r="I354" s="14">
        <f t="shared" si="13"/>
        <v>1.0000000000000009E-2</v>
      </c>
      <c r="J354" s="14">
        <f t="shared" si="13"/>
        <v>0</v>
      </c>
      <c r="K354" s="14">
        <f t="shared" si="13"/>
        <v>-3.7974683544303778E-2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35">
      <c r="A355" s="12">
        <v>44477</v>
      </c>
      <c r="B355" s="20">
        <v>12500</v>
      </c>
      <c r="C355" s="20">
        <v>26950</v>
      </c>
      <c r="D355" s="20">
        <v>10000</v>
      </c>
      <c r="E355" s="20">
        <v>27100</v>
      </c>
      <c r="F355" s="20">
        <v>19750</v>
      </c>
      <c r="G355" s="14">
        <f t="shared" si="13"/>
        <v>-8.0882352941176516E-2</v>
      </c>
      <c r="H355" s="14">
        <f t="shared" si="13"/>
        <v>-6.9084628670120884E-2</v>
      </c>
      <c r="I355" s="14">
        <f t="shared" si="13"/>
        <v>-9.0909090909090939E-2</v>
      </c>
      <c r="J355" s="14">
        <f t="shared" si="13"/>
        <v>-7.3260073260073E-3</v>
      </c>
      <c r="K355" s="14">
        <f t="shared" si="13"/>
        <v>-6.8396226415094352E-2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35">
      <c r="A356" s="12">
        <v>44476</v>
      </c>
      <c r="B356" s="20">
        <v>13600</v>
      </c>
      <c r="C356" s="20">
        <v>28950</v>
      </c>
      <c r="D356" s="20">
        <v>11000</v>
      </c>
      <c r="E356" s="20">
        <v>27300</v>
      </c>
      <c r="F356" s="20">
        <v>21200</v>
      </c>
      <c r="G356" s="14">
        <f t="shared" si="13"/>
        <v>-7.2992700729926918E-3</v>
      </c>
      <c r="H356" s="14">
        <f t="shared" si="13"/>
        <v>-1.8644067796610209E-2</v>
      </c>
      <c r="I356" s="14">
        <f t="shared" si="13"/>
        <v>0</v>
      </c>
      <c r="J356" s="14">
        <f t="shared" si="13"/>
        <v>0</v>
      </c>
      <c r="K356" s="14">
        <f t="shared" si="13"/>
        <v>4.1769041769041726E-2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35">
      <c r="A357" s="12">
        <v>44475</v>
      </c>
      <c r="B357" s="20">
        <v>13700</v>
      </c>
      <c r="C357" s="20">
        <v>29500</v>
      </c>
      <c r="D357" s="20">
        <v>11000</v>
      </c>
      <c r="E357" s="20">
        <v>27300</v>
      </c>
      <c r="F357" s="20">
        <v>20350</v>
      </c>
      <c r="G357" s="14">
        <f t="shared" si="13"/>
        <v>-2.1428571428571463E-2</v>
      </c>
      <c r="H357" s="14">
        <f t="shared" si="13"/>
        <v>-1.5025041736227096E-2</v>
      </c>
      <c r="I357" s="14">
        <f t="shared" si="13"/>
        <v>-1.7857142857142905E-2</v>
      </c>
      <c r="J357" s="14">
        <f t="shared" si="13"/>
        <v>-7.2727272727273196E-3</v>
      </c>
      <c r="K357" s="14">
        <f t="shared" si="13"/>
        <v>3.8265306122448939E-2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35">
      <c r="A358" s="12">
        <v>44474</v>
      </c>
      <c r="B358" s="20">
        <v>14000</v>
      </c>
      <c r="C358" s="20">
        <v>29950</v>
      </c>
      <c r="D358" s="20">
        <v>11200</v>
      </c>
      <c r="E358" s="20">
        <v>27500</v>
      </c>
      <c r="F358" s="20">
        <v>19600</v>
      </c>
      <c r="G358" s="14">
        <f t="shared" si="13"/>
        <v>4.4776119402984982E-2</v>
      </c>
      <c r="H358" s="14">
        <f t="shared" si="13"/>
        <v>4.5375218150087271E-2</v>
      </c>
      <c r="I358" s="14">
        <f t="shared" si="13"/>
        <v>1.8181818181818077E-2</v>
      </c>
      <c r="J358" s="14">
        <f t="shared" si="13"/>
        <v>1.1029411764705843E-2</v>
      </c>
      <c r="K358" s="14">
        <f t="shared" si="13"/>
        <v>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5">
      <c r="A359" s="12">
        <v>44473</v>
      </c>
      <c r="B359" s="20">
        <v>13400</v>
      </c>
      <c r="C359" s="20">
        <v>28650</v>
      </c>
      <c r="D359" s="20">
        <v>11000</v>
      </c>
      <c r="E359" s="20">
        <v>27200</v>
      </c>
      <c r="F359" s="20">
        <v>19600</v>
      </c>
      <c r="G359" s="14">
        <f t="shared" si="13"/>
        <v>1.5151515151515138E-2</v>
      </c>
      <c r="H359" s="14">
        <f t="shared" si="13"/>
        <v>6.9029850746268551E-2</v>
      </c>
      <c r="I359" s="14">
        <f t="shared" si="13"/>
        <v>5.7692307692307709E-2</v>
      </c>
      <c r="J359" s="14">
        <f t="shared" si="13"/>
        <v>3.6900369003689537E-3</v>
      </c>
      <c r="K359" s="14">
        <f t="shared" si="13"/>
        <v>1.5544041450777257E-2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35">
      <c r="A360" s="12">
        <v>44470</v>
      </c>
      <c r="B360" s="20">
        <v>13200</v>
      </c>
      <c r="C360" s="20">
        <v>26800</v>
      </c>
      <c r="D360" s="20">
        <v>10400</v>
      </c>
      <c r="E360" s="20">
        <v>27100</v>
      </c>
      <c r="F360" s="20">
        <v>19300</v>
      </c>
      <c r="G360" s="14">
        <f t="shared" si="13"/>
        <v>-1.4925373134328401E-2</v>
      </c>
      <c r="H360" s="14">
        <f t="shared" si="13"/>
        <v>3.7453183520599342E-3</v>
      </c>
      <c r="I360" s="14">
        <f t="shared" si="13"/>
        <v>9.473684210526323E-2</v>
      </c>
      <c r="J360" s="14">
        <f t="shared" si="13"/>
        <v>0</v>
      </c>
      <c r="K360" s="14">
        <f t="shared" si="13"/>
        <v>-1.025641025641022E-2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35">
      <c r="A361" s="12">
        <v>44469</v>
      </c>
      <c r="B361" s="20">
        <v>13400</v>
      </c>
      <c r="C361" s="20">
        <v>26700</v>
      </c>
      <c r="D361" s="20">
        <v>9500</v>
      </c>
      <c r="E361" s="20">
        <v>27100</v>
      </c>
      <c r="F361" s="20">
        <v>19500</v>
      </c>
      <c r="G361" s="14">
        <f t="shared" si="13"/>
        <v>2.2900763358778553E-2</v>
      </c>
      <c r="H361" s="14">
        <f t="shared" si="13"/>
        <v>0</v>
      </c>
      <c r="I361" s="14">
        <f t="shared" si="13"/>
        <v>0</v>
      </c>
      <c r="J361" s="14">
        <f t="shared" si="13"/>
        <v>0</v>
      </c>
      <c r="K361" s="14">
        <f t="shared" si="13"/>
        <v>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35">
      <c r="A362" s="12">
        <v>44468</v>
      </c>
      <c r="B362" s="20">
        <v>13100</v>
      </c>
      <c r="C362" s="20">
        <v>26700</v>
      </c>
      <c r="D362" s="20">
        <v>9500</v>
      </c>
      <c r="E362" s="20">
        <v>27100</v>
      </c>
      <c r="F362" s="20">
        <v>19500</v>
      </c>
      <c r="G362" s="14">
        <f t="shared" si="13"/>
        <v>2.34375E-2</v>
      </c>
      <c r="H362" s="14">
        <f t="shared" si="13"/>
        <v>7.547169811320753E-3</v>
      </c>
      <c r="I362" s="14">
        <f t="shared" si="13"/>
        <v>0</v>
      </c>
      <c r="J362" s="14">
        <f t="shared" si="13"/>
        <v>-3.6764705882352811E-3</v>
      </c>
      <c r="K362" s="14">
        <f t="shared" si="13"/>
        <v>-1.2658227848101222E-2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35">
      <c r="A363" s="12">
        <v>44467</v>
      </c>
      <c r="B363" s="20">
        <v>12800</v>
      </c>
      <c r="C363" s="20">
        <v>26500</v>
      </c>
      <c r="D363" s="20">
        <v>9500</v>
      </c>
      <c r="E363" s="20">
        <v>27200</v>
      </c>
      <c r="F363" s="20">
        <v>19750</v>
      </c>
      <c r="G363" s="14">
        <f t="shared" si="13"/>
        <v>1.5873015873015817E-2</v>
      </c>
      <c r="H363" s="14">
        <f t="shared" si="13"/>
        <v>-7.4906367041198685E-3</v>
      </c>
      <c r="I363" s="14">
        <f t="shared" si="13"/>
        <v>1.0638297872340496E-2</v>
      </c>
      <c r="J363" s="14">
        <f t="shared" si="13"/>
        <v>0</v>
      </c>
      <c r="K363" s="14">
        <f t="shared" si="13"/>
        <v>3.1331592689294974E-2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35">
      <c r="A364" s="12">
        <v>44466</v>
      </c>
      <c r="B364" s="20">
        <v>12600</v>
      </c>
      <c r="C364" s="20">
        <v>26700</v>
      </c>
      <c r="D364" s="20">
        <v>9400</v>
      </c>
      <c r="E364" s="20">
        <v>27200</v>
      </c>
      <c r="F364" s="20">
        <v>19150</v>
      </c>
      <c r="G364" s="14">
        <f t="shared" si="13"/>
        <v>0</v>
      </c>
      <c r="H364" s="14">
        <f t="shared" si="13"/>
        <v>-1.1111111111111072E-2</v>
      </c>
      <c r="I364" s="14">
        <f t="shared" si="13"/>
        <v>0</v>
      </c>
      <c r="J364" s="14">
        <f t="shared" si="13"/>
        <v>-1.8348623853210455E-3</v>
      </c>
      <c r="K364" s="14">
        <f t="shared" si="13"/>
        <v>2.6178010471205049E-3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35">
      <c r="A365" s="12">
        <v>44463</v>
      </c>
      <c r="B365" s="20">
        <v>12600</v>
      </c>
      <c r="C365" s="20">
        <v>27000</v>
      </c>
      <c r="D365" s="20">
        <v>9400</v>
      </c>
      <c r="E365" s="20">
        <v>27250</v>
      </c>
      <c r="F365" s="20">
        <v>19100</v>
      </c>
      <c r="G365" s="14">
        <f t="shared" si="13"/>
        <v>-1.5625E-2</v>
      </c>
      <c r="H365" s="14">
        <f t="shared" si="13"/>
        <v>-9.1743119266054496E-3</v>
      </c>
      <c r="I365" s="14">
        <f t="shared" si="13"/>
        <v>0</v>
      </c>
      <c r="J365" s="14">
        <f t="shared" si="13"/>
        <v>5.5350553505535416E-3</v>
      </c>
      <c r="K365" s="14">
        <f t="shared" si="13"/>
        <v>-5.2083333333333703E-3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5">
      <c r="A366" s="12">
        <v>44462</v>
      </c>
      <c r="B366" s="20">
        <v>12800</v>
      </c>
      <c r="C366" s="20">
        <v>27250</v>
      </c>
      <c r="D366" s="20">
        <v>9400</v>
      </c>
      <c r="E366" s="20">
        <v>27100</v>
      </c>
      <c r="F366" s="20">
        <v>19200</v>
      </c>
      <c r="G366" s="14">
        <f t="shared" si="13"/>
        <v>-1.538461538461533E-2</v>
      </c>
      <c r="H366" s="14">
        <f t="shared" si="13"/>
        <v>5.5350553505535416E-3</v>
      </c>
      <c r="I366" s="14">
        <f t="shared" si="13"/>
        <v>3.2967032967033072E-2</v>
      </c>
      <c r="J366" s="14">
        <f t="shared" si="13"/>
        <v>-7.3260073260073E-3</v>
      </c>
      <c r="K366" s="14">
        <f t="shared" si="13"/>
        <v>-5.1813471502590858E-3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35">
      <c r="A367" s="12">
        <v>44461</v>
      </c>
      <c r="B367" s="20">
        <v>13000</v>
      </c>
      <c r="C367" s="20">
        <v>27100</v>
      </c>
      <c r="D367" s="20">
        <v>9100</v>
      </c>
      <c r="E367" s="20">
        <v>27300</v>
      </c>
      <c r="F367" s="20">
        <v>19300</v>
      </c>
      <c r="G367" s="14">
        <f t="shared" si="13"/>
        <v>3.1746031746031855E-2</v>
      </c>
      <c r="H367" s="14">
        <f t="shared" si="13"/>
        <v>1.1194029850746245E-2</v>
      </c>
      <c r="I367" s="14">
        <f t="shared" si="13"/>
        <v>2.2471910112359605E-2</v>
      </c>
      <c r="J367" s="14">
        <f t="shared" si="13"/>
        <v>3.6764705882352811E-3</v>
      </c>
      <c r="K367" s="14">
        <f t="shared" si="13"/>
        <v>2.659574468085113E-2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35">
      <c r="A368" s="12">
        <v>44460</v>
      </c>
      <c r="B368" s="20">
        <v>12600</v>
      </c>
      <c r="C368" s="20">
        <v>26800</v>
      </c>
      <c r="D368" s="20">
        <v>8900</v>
      </c>
      <c r="E368" s="20">
        <v>27200</v>
      </c>
      <c r="F368" s="20">
        <v>18800</v>
      </c>
      <c r="G368" s="14">
        <f t="shared" si="13"/>
        <v>1.6129032258064502E-2</v>
      </c>
      <c r="H368" s="14">
        <f t="shared" si="13"/>
        <v>1.5151515151515138E-2</v>
      </c>
      <c r="I368" s="14">
        <f t="shared" si="13"/>
        <v>0</v>
      </c>
      <c r="J368" s="14">
        <f t="shared" si="13"/>
        <v>0</v>
      </c>
      <c r="K368" s="14">
        <f t="shared" si="13"/>
        <v>1.0752688172043001E-2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35">
      <c r="A369" s="12">
        <v>44459</v>
      </c>
      <c r="B369" s="20">
        <v>12400</v>
      </c>
      <c r="C369" s="20">
        <v>26400</v>
      </c>
      <c r="D369" s="20">
        <v>8900</v>
      </c>
      <c r="E369" s="20">
        <v>27200</v>
      </c>
      <c r="F369" s="20">
        <v>18600</v>
      </c>
      <c r="G369" s="14">
        <f t="shared" si="13"/>
        <v>-3.8759689922480578E-2</v>
      </c>
      <c r="H369" s="14">
        <f t="shared" si="13"/>
        <v>-3.7735849056603765E-3</v>
      </c>
      <c r="I369" s="14">
        <f t="shared" si="13"/>
        <v>0</v>
      </c>
      <c r="J369" s="14">
        <f t="shared" si="13"/>
        <v>-1.0909090909090868E-2</v>
      </c>
      <c r="K369" s="14">
        <f t="shared" si="13"/>
        <v>-1.0638297872340385E-2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35">
      <c r="A370" s="12">
        <v>44456</v>
      </c>
      <c r="B370" s="20">
        <v>12900</v>
      </c>
      <c r="C370" s="20">
        <v>26500</v>
      </c>
      <c r="D370" s="20">
        <v>8900</v>
      </c>
      <c r="E370" s="20">
        <v>27500</v>
      </c>
      <c r="F370" s="20">
        <v>18800</v>
      </c>
      <c r="G370" s="14">
        <f t="shared" si="13"/>
        <v>0</v>
      </c>
      <c r="H370" s="14">
        <f t="shared" si="13"/>
        <v>-7.4906367041198685E-3</v>
      </c>
      <c r="I370" s="14">
        <f t="shared" si="13"/>
        <v>-1.1111111111111072E-2</v>
      </c>
      <c r="J370" s="14">
        <f t="shared" si="13"/>
        <v>3.6496350364962904E-3</v>
      </c>
      <c r="K370" s="14">
        <f t="shared" si="13"/>
        <v>-7.9155672823219003E-3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5">
      <c r="A371" s="12">
        <v>44455</v>
      </c>
      <c r="B371" s="20">
        <v>12900</v>
      </c>
      <c r="C371" s="20">
        <v>26700</v>
      </c>
      <c r="D371" s="20">
        <v>9000</v>
      </c>
      <c r="E371" s="20">
        <v>27400</v>
      </c>
      <c r="F371" s="20">
        <v>18950</v>
      </c>
      <c r="G371" s="14">
        <f t="shared" si="13"/>
        <v>-1.5267175572519109E-2</v>
      </c>
      <c r="H371" s="14">
        <f t="shared" si="13"/>
        <v>1.1363636363636465E-2</v>
      </c>
      <c r="I371" s="14">
        <f t="shared" si="13"/>
        <v>0</v>
      </c>
      <c r="J371" s="14">
        <f t="shared" si="13"/>
        <v>0</v>
      </c>
      <c r="K371" s="14">
        <f t="shared" si="13"/>
        <v>1.3368983957219305E-2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35">
      <c r="A372" s="12">
        <v>44454</v>
      </c>
      <c r="B372" s="20">
        <v>13100</v>
      </c>
      <c r="C372" s="20">
        <v>26400</v>
      </c>
      <c r="D372" s="20">
        <v>9000</v>
      </c>
      <c r="E372" s="20">
        <v>27400</v>
      </c>
      <c r="F372" s="20">
        <v>18700</v>
      </c>
      <c r="G372" s="14">
        <f t="shared" si="13"/>
        <v>7.692307692307665E-3</v>
      </c>
      <c r="H372" s="14">
        <f t="shared" si="13"/>
        <v>3.3268101761252389E-2</v>
      </c>
      <c r="I372" s="14">
        <f t="shared" si="13"/>
        <v>2.2727272727272707E-2</v>
      </c>
      <c r="J372" s="14">
        <f t="shared" si="13"/>
        <v>1.8281535648994041E-3</v>
      </c>
      <c r="K372" s="14">
        <f t="shared" si="13"/>
        <v>-1.0582010582010581E-2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5">
      <c r="A373" s="12">
        <v>44453</v>
      </c>
      <c r="B373" s="20">
        <v>13000</v>
      </c>
      <c r="C373" s="20">
        <v>25550</v>
      </c>
      <c r="D373" s="20">
        <v>8800</v>
      </c>
      <c r="E373" s="20">
        <v>27350</v>
      </c>
      <c r="F373" s="20">
        <v>18900</v>
      </c>
      <c r="G373" s="14">
        <f t="shared" si="13"/>
        <v>1.5625E-2</v>
      </c>
      <c r="H373" s="14">
        <f t="shared" si="13"/>
        <v>-1.3513513513513487E-2</v>
      </c>
      <c r="I373" s="14">
        <f t="shared" si="13"/>
        <v>0</v>
      </c>
      <c r="J373" s="14">
        <f t="shared" si="13"/>
        <v>0</v>
      </c>
      <c r="K373" s="14">
        <f t="shared" si="13"/>
        <v>1.3404825737265424E-2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5">
      <c r="A374" s="12">
        <v>44452</v>
      </c>
      <c r="B374" s="20">
        <v>12800</v>
      </c>
      <c r="C374" s="20">
        <v>25900</v>
      </c>
      <c r="D374" s="20">
        <v>8800</v>
      </c>
      <c r="E374" s="20">
        <v>27350</v>
      </c>
      <c r="F374" s="20">
        <v>18650</v>
      </c>
      <c r="G374" s="14">
        <f t="shared" ref="G374:K424" si="14">B374/B375-1</f>
        <v>0</v>
      </c>
      <c r="H374" s="14">
        <f t="shared" si="14"/>
        <v>-1.3333333333333308E-2</v>
      </c>
      <c r="I374" s="14">
        <f t="shared" si="14"/>
        <v>-1.1235955056179803E-2</v>
      </c>
      <c r="J374" s="14">
        <f t="shared" si="14"/>
        <v>1.831501831501825E-3</v>
      </c>
      <c r="K374" s="14">
        <f t="shared" si="14"/>
        <v>-4.3589743589743546E-2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5">
      <c r="A375" s="12">
        <v>44449</v>
      </c>
      <c r="B375" s="20">
        <v>12800</v>
      </c>
      <c r="C375" s="20">
        <v>26250</v>
      </c>
      <c r="D375" s="20">
        <v>8900</v>
      </c>
      <c r="E375" s="20">
        <v>27300</v>
      </c>
      <c r="F375" s="20">
        <v>19500</v>
      </c>
      <c r="G375" s="14">
        <f t="shared" si="14"/>
        <v>-1.538461538461533E-2</v>
      </c>
      <c r="H375" s="14">
        <f t="shared" si="14"/>
        <v>-1.8691588785046731E-2</v>
      </c>
      <c r="I375" s="14">
        <f t="shared" si="14"/>
        <v>0</v>
      </c>
      <c r="J375" s="14">
        <f t="shared" si="14"/>
        <v>0</v>
      </c>
      <c r="K375" s="14">
        <f t="shared" si="14"/>
        <v>-2.2556390977443663E-2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5">
      <c r="A376" s="12">
        <v>44448</v>
      </c>
      <c r="B376" s="20">
        <v>13000</v>
      </c>
      <c r="C376" s="20">
        <v>26750</v>
      </c>
      <c r="D376" s="20">
        <v>8900</v>
      </c>
      <c r="E376" s="20">
        <v>27300</v>
      </c>
      <c r="F376" s="20">
        <v>19950</v>
      </c>
      <c r="G376" s="14">
        <f t="shared" si="14"/>
        <v>7.7519379844961378E-3</v>
      </c>
      <c r="H376" s="14">
        <f t="shared" si="14"/>
        <v>2.0992366412213803E-2</v>
      </c>
      <c r="I376" s="14">
        <f t="shared" si="14"/>
        <v>-1.1111111111111072E-2</v>
      </c>
      <c r="J376" s="14">
        <f t="shared" si="14"/>
        <v>-3.6496350364964014E-3</v>
      </c>
      <c r="K376" s="14">
        <f t="shared" si="14"/>
        <v>5.0000000000000044E-2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5">
      <c r="A377" s="12">
        <v>44447</v>
      </c>
      <c r="B377" s="20">
        <v>12900</v>
      </c>
      <c r="C377" s="20">
        <v>26200</v>
      </c>
      <c r="D377" s="20">
        <v>9000</v>
      </c>
      <c r="E377" s="20">
        <v>27400</v>
      </c>
      <c r="F377" s="20">
        <v>19000</v>
      </c>
      <c r="G377" s="14">
        <f t="shared" si="14"/>
        <v>1.5748031496062964E-2</v>
      </c>
      <c r="H377" s="14">
        <f t="shared" si="14"/>
        <v>4.3824701195219085E-2</v>
      </c>
      <c r="I377" s="14">
        <f t="shared" si="14"/>
        <v>0</v>
      </c>
      <c r="J377" s="14">
        <f t="shared" si="14"/>
        <v>0</v>
      </c>
      <c r="K377" s="14">
        <f t="shared" si="14"/>
        <v>5.8495821727019504E-2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5">
      <c r="A378" s="12">
        <v>44446</v>
      </c>
      <c r="B378" s="20">
        <v>12700</v>
      </c>
      <c r="C378" s="20">
        <v>25100</v>
      </c>
      <c r="D378" s="20">
        <v>9000</v>
      </c>
      <c r="E378" s="20">
        <v>27400</v>
      </c>
      <c r="F378" s="20">
        <v>17950</v>
      </c>
      <c r="G378" s="14">
        <f t="shared" si="14"/>
        <v>4.9586776859504189E-2</v>
      </c>
      <c r="H378" s="14">
        <f t="shared" si="14"/>
        <v>2.0325203252032464E-2</v>
      </c>
      <c r="I378" s="14">
        <f t="shared" si="14"/>
        <v>3.4482758620689724E-2</v>
      </c>
      <c r="J378" s="14">
        <f t="shared" si="14"/>
        <v>9.208103130755152E-3</v>
      </c>
      <c r="K378" s="14">
        <f t="shared" si="14"/>
        <v>8.4269662921347965E-3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5">
      <c r="A379" s="12">
        <v>44445</v>
      </c>
      <c r="B379" s="20">
        <v>12100</v>
      </c>
      <c r="C379" s="20">
        <v>24600</v>
      </c>
      <c r="D379" s="20">
        <v>8700</v>
      </c>
      <c r="E379" s="20">
        <v>27150</v>
      </c>
      <c r="F379" s="20">
        <v>17800</v>
      </c>
      <c r="G379" s="14">
        <f t="shared" si="14"/>
        <v>8.3333333333333037E-3</v>
      </c>
      <c r="H379" s="14">
        <f t="shared" si="14"/>
        <v>1.4432989690721598E-2</v>
      </c>
      <c r="I379" s="14">
        <f t="shared" si="14"/>
        <v>1.1627906976744207E-2</v>
      </c>
      <c r="J379" s="14">
        <f t="shared" si="14"/>
        <v>1.8450184501845879E-3</v>
      </c>
      <c r="K379" s="14">
        <f t="shared" si="14"/>
        <v>-1.6574585635359074E-2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5">
      <c r="A380" s="12">
        <v>44440</v>
      </c>
      <c r="B380" s="20">
        <v>12000</v>
      </c>
      <c r="C380" s="20">
        <v>24250</v>
      </c>
      <c r="D380" s="20">
        <v>8600</v>
      </c>
      <c r="E380" s="20">
        <v>27100</v>
      </c>
      <c r="F380" s="20">
        <v>18100</v>
      </c>
      <c r="G380" s="14">
        <f t="shared" si="14"/>
        <v>-8.2644628099173278E-3</v>
      </c>
      <c r="H380" s="14">
        <f t="shared" si="14"/>
        <v>1.2526096033402823E-2</v>
      </c>
      <c r="I380" s="14">
        <f t="shared" si="14"/>
        <v>-1.1494252873563204E-2</v>
      </c>
      <c r="J380" s="14">
        <f t="shared" si="14"/>
        <v>0</v>
      </c>
      <c r="K380" s="14">
        <f t="shared" si="14"/>
        <v>5.232558139534893E-2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5">
      <c r="A381" s="12">
        <v>44439</v>
      </c>
      <c r="B381" s="20">
        <v>12100</v>
      </c>
      <c r="C381" s="20">
        <v>23950</v>
      </c>
      <c r="D381" s="20">
        <v>8700</v>
      </c>
      <c r="E381" s="20">
        <v>27100</v>
      </c>
      <c r="F381" s="20">
        <v>17200</v>
      </c>
      <c r="G381" s="14">
        <f t="shared" si="14"/>
        <v>2.5423728813559254E-2</v>
      </c>
      <c r="H381" s="14">
        <f t="shared" si="14"/>
        <v>1.9148936170212849E-2</v>
      </c>
      <c r="I381" s="14">
        <f t="shared" si="14"/>
        <v>1.1627906976744207E-2</v>
      </c>
      <c r="J381" s="14">
        <f t="shared" si="14"/>
        <v>-7.3260073260073E-3</v>
      </c>
      <c r="K381" s="14">
        <f t="shared" si="14"/>
        <v>-2.2727272727272707E-2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5">
      <c r="A382" s="12">
        <v>44438</v>
      </c>
      <c r="B382" s="20">
        <v>11800</v>
      </c>
      <c r="C382" s="20">
        <v>23500</v>
      </c>
      <c r="D382" s="20">
        <v>8600</v>
      </c>
      <c r="E382" s="20">
        <v>27300</v>
      </c>
      <c r="F382" s="20">
        <v>17600</v>
      </c>
      <c r="G382" s="14">
        <f t="shared" si="14"/>
        <v>2.6086956521739202E-2</v>
      </c>
      <c r="H382" s="14">
        <f t="shared" si="14"/>
        <v>0</v>
      </c>
      <c r="I382" s="14">
        <f t="shared" si="14"/>
        <v>-1.1494252873563204E-2</v>
      </c>
      <c r="J382" s="14">
        <f t="shared" si="14"/>
        <v>0</v>
      </c>
      <c r="K382" s="14">
        <f t="shared" si="14"/>
        <v>3.529411764705892E-2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5">
      <c r="A383" s="12">
        <v>44435</v>
      </c>
      <c r="B383" s="20">
        <v>11500</v>
      </c>
      <c r="C383" s="20">
        <v>23500</v>
      </c>
      <c r="D383" s="20">
        <v>8700</v>
      </c>
      <c r="E383" s="20">
        <v>27300</v>
      </c>
      <c r="F383" s="20">
        <v>17000</v>
      </c>
      <c r="G383" s="14">
        <f t="shared" si="14"/>
        <v>-8.6206896551723755E-3</v>
      </c>
      <c r="H383" s="14">
        <f t="shared" si="14"/>
        <v>2.8446389496717739E-2</v>
      </c>
      <c r="I383" s="14">
        <f t="shared" si="14"/>
        <v>0</v>
      </c>
      <c r="J383" s="14">
        <f t="shared" si="14"/>
        <v>-1.7985611510791366E-2</v>
      </c>
      <c r="K383" s="14">
        <f t="shared" si="14"/>
        <v>-3.9548022598870025E-2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5">
      <c r="A384" s="12">
        <v>44434</v>
      </c>
      <c r="B384" s="20">
        <v>11600</v>
      </c>
      <c r="C384" s="20">
        <v>22850</v>
      </c>
      <c r="D384" s="20">
        <v>8700</v>
      </c>
      <c r="E384" s="20">
        <v>27800</v>
      </c>
      <c r="F384" s="20">
        <v>17700</v>
      </c>
      <c r="G384" s="14">
        <f t="shared" si="14"/>
        <v>2.6548672566371723E-2</v>
      </c>
      <c r="H384" s="14">
        <f t="shared" si="14"/>
        <v>6.6079295154184425E-3</v>
      </c>
      <c r="I384" s="14">
        <f t="shared" si="14"/>
        <v>0</v>
      </c>
      <c r="J384" s="14">
        <f t="shared" si="14"/>
        <v>5.5028462998102379E-2</v>
      </c>
      <c r="K384" s="14">
        <f t="shared" si="14"/>
        <v>-3.2786885245901676E-2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35">
      <c r="A385" s="12">
        <v>44433</v>
      </c>
      <c r="B385" s="20">
        <v>11300</v>
      </c>
      <c r="C385" s="20">
        <v>22700</v>
      </c>
      <c r="D385" s="20">
        <v>8700</v>
      </c>
      <c r="E385" s="20">
        <v>26350</v>
      </c>
      <c r="F385" s="20">
        <v>18300</v>
      </c>
      <c r="G385" s="14">
        <f t="shared" si="14"/>
        <v>-2.5862068965517238E-2</v>
      </c>
      <c r="H385" s="14">
        <f t="shared" si="14"/>
        <v>1.3392857142857206E-2</v>
      </c>
      <c r="I385" s="14">
        <f t="shared" si="14"/>
        <v>0</v>
      </c>
      <c r="J385" s="14">
        <f t="shared" si="14"/>
        <v>-5.6603773584905648E-3</v>
      </c>
      <c r="K385" s="14">
        <f t="shared" si="14"/>
        <v>2.8089887640449396E-2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35">
      <c r="A386" s="12">
        <v>44432</v>
      </c>
      <c r="B386" s="20">
        <v>11600</v>
      </c>
      <c r="C386" s="20">
        <v>22400</v>
      </c>
      <c r="D386" s="20">
        <v>8700</v>
      </c>
      <c r="E386" s="20">
        <v>26500</v>
      </c>
      <c r="F386" s="20">
        <v>17800</v>
      </c>
      <c r="G386" s="14">
        <f t="shared" si="14"/>
        <v>-8.5470085470085166E-3</v>
      </c>
      <c r="H386" s="14">
        <f t="shared" si="14"/>
        <v>1.8181818181818077E-2</v>
      </c>
      <c r="I386" s="14">
        <f t="shared" si="14"/>
        <v>-2.2471910112359605E-2</v>
      </c>
      <c r="J386" s="14">
        <f t="shared" si="14"/>
        <v>-7.4906367041198685E-3</v>
      </c>
      <c r="K386" s="14">
        <f t="shared" si="14"/>
        <v>-4.8128342245989275E-2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5">
      <c r="A387" s="12">
        <v>44431</v>
      </c>
      <c r="B387" s="20">
        <v>11700</v>
      </c>
      <c r="C387" s="20">
        <v>22000</v>
      </c>
      <c r="D387" s="20">
        <v>8900</v>
      </c>
      <c r="E387" s="20">
        <v>26700</v>
      </c>
      <c r="F387" s="20">
        <v>18700</v>
      </c>
      <c r="G387" s="14">
        <f t="shared" si="14"/>
        <v>-8.4745762711864181E-3</v>
      </c>
      <c r="H387" s="14">
        <f t="shared" si="14"/>
        <v>0</v>
      </c>
      <c r="I387" s="14">
        <f t="shared" si="14"/>
        <v>0</v>
      </c>
      <c r="J387" s="14">
        <f t="shared" si="14"/>
        <v>-1.8382352941176516E-2</v>
      </c>
      <c r="K387" s="14">
        <f t="shared" si="14"/>
        <v>6.8571428571428505E-2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5">
      <c r="A388" s="12">
        <v>44428</v>
      </c>
      <c r="B388" s="20">
        <v>11800</v>
      </c>
      <c r="C388" s="20">
        <v>22000</v>
      </c>
      <c r="D388" s="20">
        <v>8900</v>
      </c>
      <c r="E388" s="20">
        <v>27200</v>
      </c>
      <c r="F388" s="20">
        <v>17500</v>
      </c>
      <c r="G388" s="14">
        <f t="shared" si="14"/>
        <v>2.6086956521739202E-2</v>
      </c>
      <c r="H388" s="14">
        <f t="shared" si="14"/>
        <v>1.3824884792626779E-2</v>
      </c>
      <c r="I388" s="14">
        <f t="shared" si="14"/>
        <v>1.1363636363636465E-2</v>
      </c>
      <c r="J388" s="14">
        <f t="shared" si="14"/>
        <v>-7.2992700729926918E-3</v>
      </c>
      <c r="K388" s="14">
        <f t="shared" si="14"/>
        <v>6.7073170731707377E-2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5">
      <c r="A389" s="12">
        <v>44427</v>
      </c>
      <c r="B389" s="20">
        <v>11500</v>
      </c>
      <c r="C389" s="20">
        <v>21700</v>
      </c>
      <c r="D389" s="20">
        <v>8800</v>
      </c>
      <c r="E389" s="20">
        <v>27400</v>
      </c>
      <c r="F389" s="20">
        <v>16400</v>
      </c>
      <c r="G389" s="14">
        <f t="shared" si="14"/>
        <v>-1.7094017094017144E-2</v>
      </c>
      <c r="H389" s="14">
        <f t="shared" si="14"/>
        <v>2.6004728132387633E-2</v>
      </c>
      <c r="I389" s="14">
        <f t="shared" si="14"/>
        <v>0</v>
      </c>
      <c r="J389" s="14">
        <f t="shared" si="14"/>
        <v>-7.2463768115942351E-3</v>
      </c>
      <c r="K389" s="14">
        <f t="shared" si="14"/>
        <v>6.1349693251533388E-3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5">
      <c r="A390" s="12">
        <v>44426</v>
      </c>
      <c r="B390" s="20">
        <v>11700</v>
      </c>
      <c r="C390" s="20">
        <v>21150</v>
      </c>
      <c r="D390" s="20">
        <v>8800</v>
      </c>
      <c r="E390" s="20">
        <v>27600</v>
      </c>
      <c r="F390" s="20">
        <v>16300</v>
      </c>
      <c r="G390" s="14">
        <f t="shared" si="14"/>
        <v>-9.3023255813953543E-2</v>
      </c>
      <c r="H390" s="14">
        <f t="shared" si="14"/>
        <v>-6.8281938325991165E-2</v>
      </c>
      <c r="I390" s="14">
        <f t="shared" si="14"/>
        <v>-1.1235955056179803E-2</v>
      </c>
      <c r="J390" s="14">
        <f t="shared" si="14"/>
        <v>-1.6042780748663055E-2</v>
      </c>
      <c r="K390" s="14">
        <f t="shared" si="14"/>
        <v>-5.2325581395348819E-2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5">
      <c r="A391" s="12">
        <v>44425</v>
      </c>
      <c r="B391" s="20">
        <v>12900</v>
      </c>
      <c r="C391" s="20">
        <v>22700</v>
      </c>
      <c r="D391" s="20">
        <v>8900</v>
      </c>
      <c r="E391" s="20">
        <v>28050</v>
      </c>
      <c r="F391" s="20">
        <v>17200</v>
      </c>
      <c r="G391" s="14">
        <f t="shared" si="14"/>
        <v>5.7377049180327822E-2</v>
      </c>
      <c r="H391" s="14">
        <f t="shared" si="14"/>
        <v>3.6529680365296802E-2</v>
      </c>
      <c r="I391" s="14">
        <f t="shared" si="14"/>
        <v>0</v>
      </c>
      <c r="J391" s="14">
        <f t="shared" si="14"/>
        <v>-5.3191489361702482E-3</v>
      </c>
      <c r="K391" s="14">
        <f t="shared" si="14"/>
        <v>4.5592705167173175E-2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5">
      <c r="A392" s="12">
        <v>44424</v>
      </c>
      <c r="B392" s="20">
        <v>12200</v>
      </c>
      <c r="C392" s="20">
        <v>21900</v>
      </c>
      <c r="D392" s="20">
        <v>8900</v>
      </c>
      <c r="E392" s="20">
        <v>28200</v>
      </c>
      <c r="F392" s="20">
        <v>16450</v>
      </c>
      <c r="G392" s="14">
        <f t="shared" si="14"/>
        <v>2.5210084033613356E-2</v>
      </c>
      <c r="H392" s="14">
        <f t="shared" si="14"/>
        <v>3.3018867924528239E-2</v>
      </c>
      <c r="I392" s="14">
        <f t="shared" si="14"/>
        <v>-1.1111111111111072E-2</v>
      </c>
      <c r="J392" s="14">
        <f t="shared" si="14"/>
        <v>1.0752688172043001E-2</v>
      </c>
      <c r="K392" s="14">
        <f t="shared" si="14"/>
        <v>1.5432098765432167E-2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35">
      <c r="A393" s="12">
        <v>44421</v>
      </c>
      <c r="B393" s="20">
        <v>11900</v>
      </c>
      <c r="C393" s="20">
        <v>21200</v>
      </c>
      <c r="D393" s="20">
        <v>9000</v>
      </c>
      <c r="E393" s="20">
        <v>27900</v>
      </c>
      <c r="F393" s="20">
        <v>16200</v>
      </c>
      <c r="G393" s="14">
        <f t="shared" si="14"/>
        <v>8.4745762711864181E-3</v>
      </c>
      <c r="H393" s="14">
        <f t="shared" si="14"/>
        <v>-4.6948356807511304E-3</v>
      </c>
      <c r="I393" s="14">
        <f t="shared" si="14"/>
        <v>0</v>
      </c>
      <c r="J393" s="14">
        <f t="shared" si="14"/>
        <v>-3.125E-2</v>
      </c>
      <c r="K393" s="14">
        <f t="shared" si="14"/>
        <v>-9.1743119266054496E-3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5">
      <c r="A394" s="12">
        <v>44420</v>
      </c>
      <c r="B394" s="20">
        <v>11800</v>
      </c>
      <c r="C394" s="20">
        <v>21300</v>
      </c>
      <c r="D394" s="20">
        <v>9000</v>
      </c>
      <c r="E394" s="20">
        <v>28800</v>
      </c>
      <c r="F394" s="20">
        <v>16350</v>
      </c>
      <c r="G394" s="14">
        <f t="shared" si="14"/>
        <v>-3.2786885245901676E-2</v>
      </c>
      <c r="H394" s="14">
        <f t="shared" si="14"/>
        <v>4.9261083743842304E-2</v>
      </c>
      <c r="I394" s="14">
        <f t="shared" si="14"/>
        <v>1.1235955056179803E-2</v>
      </c>
      <c r="J394" s="14">
        <f t="shared" si="14"/>
        <v>-6.8965517241379448E-3</v>
      </c>
      <c r="K394" s="14">
        <f t="shared" si="14"/>
        <v>2.8301886792452935E-2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5">
      <c r="A395" s="12">
        <v>44419</v>
      </c>
      <c r="B395" s="20">
        <v>12200</v>
      </c>
      <c r="C395" s="20">
        <v>20300</v>
      </c>
      <c r="D395" s="20">
        <v>8900</v>
      </c>
      <c r="E395" s="20">
        <v>29000</v>
      </c>
      <c r="F395" s="20">
        <v>15900</v>
      </c>
      <c r="G395" s="14">
        <f t="shared" si="14"/>
        <v>-8.1300813008130524E-3</v>
      </c>
      <c r="H395" s="14">
        <f t="shared" si="14"/>
        <v>1.7543859649122862E-2</v>
      </c>
      <c r="I395" s="14">
        <f t="shared" si="14"/>
        <v>-1.1111111111111072E-2</v>
      </c>
      <c r="J395" s="14">
        <f t="shared" si="14"/>
        <v>-1.6949152542372836E-2</v>
      </c>
      <c r="K395" s="14">
        <f t="shared" si="14"/>
        <v>-6.2499999999999778E-3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5">
      <c r="A396" s="12">
        <v>44418</v>
      </c>
      <c r="B396" s="20">
        <v>12300</v>
      </c>
      <c r="C396" s="20">
        <v>19950</v>
      </c>
      <c r="D396" s="20">
        <v>9000</v>
      </c>
      <c r="E396" s="20">
        <v>29500</v>
      </c>
      <c r="F396" s="20">
        <v>16000</v>
      </c>
      <c r="G396" s="14">
        <f t="shared" si="14"/>
        <v>8.1967213114753079E-3</v>
      </c>
      <c r="H396" s="14">
        <f t="shared" si="14"/>
        <v>0</v>
      </c>
      <c r="I396" s="14">
        <f t="shared" si="14"/>
        <v>1.1235955056179803E-2</v>
      </c>
      <c r="J396" s="14">
        <f t="shared" si="14"/>
        <v>4.2402826855123754E-2</v>
      </c>
      <c r="K396" s="14">
        <f t="shared" si="14"/>
        <v>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5">
      <c r="A397" s="12">
        <v>44417</v>
      </c>
      <c r="B397" s="20">
        <v>12200</v>
      </c>
      <c r="C397" s="20">
        <v>19950</v>
      </c>
      <c r="D397" s="20">
        <v>8900</v>
      </c>
      <c r="E397" s="20">
        <v>28300</v>
      </c>
      <c r="F397" s="20">
        <v>16000</v>
      </c>
      <c r="G397" s="14">
        <f t="shared" si="14"/>
        <v>-8.1300813008130524E-3</v>
      </c>
      <c r="H397" s="14">
        <f t="shared" si="14"/>
        <v>-2.6829268292682951E-2</v>
      </c>
      <c r="I397" s="14">
        <f t="shared" si="14"/>
        <v>0</v>
      </c>
      <c r="J397" s="14">
        <f t="shared" si="14"/>
        <v>-7.0175438596491446E-3</v>
      </c>
      <c r="K397" s="14">
        <f t="shared" si="14"/>
        <v>-6.2111801242236142E-3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5">
      <c r="A398" s="12">
        <v>44414</v>
      </c>
      <c r="B398" s="20">
        <v>12300</v>
      </c>
      <c r="C398" s="20">
        <v>20500</v>
      </c>
      <c r="D398" s="20">
        <v>8900</v>
      </c>
      <c r="E398" s="20">
        <v>28500</v>
      </c>
      <c r="F398" s="20">
        <v>16100</v>
      </c>
      <c r="G398" s="14">
        <f t="shared" si="14"/>
        <v>3.3613445378151363E-2</v>
      </c>
      <c r="H398" s="14">
        <f t="shared" si="14"/>
        <v>-4.8543689320388328E-3</v>
      </c>
      <c r="I398" s="14">
        <f t="shared" si="14"/>
        <v>1.1363636363636465E-2</v>
      </c>
      <c r="J398" s="14">
        <f t="shared" si="14"/>
        <v>-5.2356020942407877E-3</v>
      </c>
      <c r="K398" s="14">
        <f t="shared" si="14"/>
        <v>-3.0959752321981782E-3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5">
      <c r="A399" s="12">
        <v>44413</v>
      </c>
      <c r="B399" s="20">
        <v>11900</v>
      </c>
      <c r="C399" s="20">
        <v>20600</v>
      </c>
      <c r="D399" s="20">
        <v>8800</v>
      </c>
      <c r="E399" s="20">
        <v>28650</v>
      </c>
      <c r="F399" s="20">
        <v>16150</v>
      </c>
      <c r="G399" s="14">
        <f t="shared" si="14"/>
        <v>8.4745762711864181E-3</v>
      </c>
      <c r="H399" s="14">
        <f t="shared" si="14"/>
        <v>3.0000000000000027E-2</v>
      </c>
      <c r="I399" s="14">
        <f t="shared" si="14"/>
        <v>-1.1235955056179803E-2</v>
      </c>
      <c r="J399" s="14">
        <f t="shared" si="14"/>
        <v>8.8028169014084945E-3</v>
      </c>
      <c r="K399" s="14">
        <f t="shared" si="14"/>
        <v>-1.2232415902140636E-2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35">
      <c r="A400" s="12">
        <v>44412</v>
      </c>
      <c r="B400" s="20">
        <v>11800</v>
      </c>
      <c r="C400" s="20">
        <v>20000</v>
      </c>
      <c r="D400" s="20">
        <v>8900</v>
      </c>
      <c r="E400" s="20">
        <v>28400</v>
      </c>
      <c r="F400" s="20">
        <v>16350</v>
      </c>
      <c r="G400" s="14">
        <f t="shared" si="14"/>
        <v>4.4247787610619538E-2</v>
      </c>
      <c r="H400" s="14">
        <f t="shared" si="14"/>
        <v>6.9518716577540163E-2</v>
      </c>
      <c r="I400" s="14">
        <f t="shared" si="14"/>
        <v>-1.1111111111111072E-2</v>
      </c>
      <c r="J400" s="14">
        <f t="shared" si="14"/>
        <v>7.0921985815601829E-3</v>
      </c>
      <c r="K400" s="14">
        <f t="shared" si="14"/>
        <v>-1.8018018018018056E-2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5">
      <c r="A401" s="12">
        <v>44411</v>
      </c>
      <c r="B401" s="20">
        <v>11300</v>
      </c>
      <c r="C401" s="20">
        <v>18700</v>
      </c>
      <c r="D401" s="20">
        <v>9000</v>
      </c>
      <c r="E401" s="20">
        <v>28200</v>
      </c>
      <c r="F401" s="20">
        <v>16650</v>
      </c>
      <c r="G401" s="14">
        <f t="shared" si="14"/>
        <v>9.7087378640776656E-2</v>
      </c>
      <c r="H401" s="14">
        <f t="shared" si="14"/>
        <v>6.8571428571428505E-2</v>
      </c>
      <c r="I401" s="14">
        <f t="shared" si="14"/>
        <v>4.6511627906976827E-2</v>
      </c>
      <c r="J401" s="14">
        <f t="shared" si="14"/>
        <v>7.1428571428571175E-3</v>
      </c>
      <c r="K401" s="14">
        <f t="shared" si="14"/>
        <v>3.7383177570093462E-2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5">
      <c r="A402" s="12">
        <v>44410</v>
      </c>
      <c r="B402" s="20">
        <v>10300</v>
      </c>
      <c r="C402" s="20">
        <v>17500</v>
      </c>
      <c r="D402" s="20">
        <v>8600</v>
      </c>
      <c r="E402" s="20">
        <v>28000</v>
      </c>
      <c r="F402" s="20">
        <v>16050</v>
      </c>
      <c r="G402" s="14">
        <f t="shared" si="14"/>
        <v>9.5744680851063801E-2</v>
      </c>
      <c r="H402" s="14">
        <f t="shared" si="14"/>
        <v>6.7073170731707377E-2</v>
      </c>
      <c r="I402" s="14">
        <f t="shared" si="14"/>
        <v>6.1728395061728447E-2</v>
      </c>
      <c r="J402" s="14">
        <f t="shared" si="14"/>
        <v>5.6603773584905648E-2</v>
      </c>
      <c r="K402" s="14">
        <f t="shared" si="14"/>
        <v>4.9019607843137303E-2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5">
      <c r="A403" s="12">
        <v>44407</v>
      </c>
      <c r="B403" s="20">
        <v>9400</v>
      </c>
      <c r="C403" s="20">
        <v>16400</v>
      </c>
      <c r="D403" s="20">
        <v>8100</v>
      </c>
      <c r="E403" s="20">
        <v>26500</v>
      </c>
      <c r="F403" s="20">
        <v>15300</v>
      </c>
      <c r="G403" s="14">
        <f t="shared" si="14"/>
        <v>4.4444444444444509E-2</v>
      </c>
      <c r="H403" s="14">
        <f t="shared" si="14"/>
        <v>2.8213166144200663E-2</v>
      </c>
      <c r="I403" s="14">
        <f t="shared" si="14"/>
        <v>2.5316455696202445E-2</v>
      </c>
      <c r="J403" s="14">
        <f t="shared" si="14"/>
        <v>7.6045627376426506E-3</v>
      </c>
      <c r="K403" s="14">
        <f t="shared" si="14"/>
        <v>3.7288135593220417E-2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5">
      <c r="A404" s="12">
        <v>44406</v>
      </c>
      <c r="B404" s="20">
        <v>9000</v>
      </c>
      <c r="C404" s="20">
        <v>15950</v>
      </c>
      <c r="D404" s="20">
        <v>7900</v>
      </c>
      <c r="E404" s="20">
        <v>26300</v>
      </c>
      <c r="F404" s="20">
        <v>14750</v>
      </c>
      <c r="G404" s="14">
        <f t="shared" si="14"/>
        <v>-3.2258064516129004E-2</v>
      </c>
      <c r="H404" s="14">
        <f t="shared" si="14"/>
        <v>-1.5432098765432056E-2</v>
      </c>
      <c r="I404" s="14">
        <f t="shared" si="14"/>
        <v>-4.8192771084337394E-2</v>
      </c>
      <c r="J404" s="14">
        <f t="shared" si="14"/>
        <v>-1.8975332068311701E-3</v>
      </c>
      <c r="K404" s="14">
        <f t="shared" si="14"/>
        <v>-4.220779220779225E-2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5">
      <c r="A405" s="12">
        <v>44405</v>
      </c>
      <c r="B405" s="20">
        <v>9300</v>
      </c>
      <c r="C405" s="20">
        <v>16200</v>
      </c>
      <c r="D405" s="20">
        <v>8300</v>
      </c>
      <c r="E405" s="20">
        <v>26350</v>
      </c>
      <c r="F405" s="20">
        <v>15400</v>
      </c>
      <c r="G405" s="14">
        <f t="shared" si="14"/>
        <v>-8.8235294117647078E-2</v>
      </c>
      <c r="H405" s="14">
        <f t="shared" si="14"/>
        <v>-6.6282420749279591E-2</v>
      </c>
      <c r="I405" s="14">
        <f t="shared" si="14"/>
        <v>-2.352941176470591E-2</v>
      </c>
      <c r="J405" s="14">
        <f t="shared" si="14"/>
        <v>-1.8621973929236479E-2</v>
      </c>
      <c r="K405" s="14">
        <f t="shared" si="14"/>
        <v>-6.0975609756097615E-2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5">
      <c r="A406" s="12">
        <v>44404</v>
      </c>
      <c r="B406" s="20">
        <v>10200</v>
      </c>
      <c r="C406" s="20">
        <v>17350</v>
      </c>
      <c r="D406" s="20">
        <v>8500</v>
      </c>
      <c r="E406" s="20">
        <v>26850</v>
      </c>
      <c r="F406" s="20">
        <v>16400</v>
      </c>
      <c r="G406" s="14">
        <f t="shared" si="14"/>
        <v>0</v>
      </c>
      <c r="H406" s="14">
        <f t="shared" si="14"/>
        <v>-3.0726256983240274E-2</v>
      </c>
      <c r="I406" s="14">
        <f t="shared" si="14"/>
        <v>1.1904761904761862E-2</v>
      </c>
      <c r="J406" s="14">
        <f t="shared" si="14"/>
        <v>-1.2867647058823484E-2</v>
      </c>
      <c r="K406" s="14">
        <f t="shared" si="14"/>
        <v>-1.7964071856287456E-2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5">
      <c r="A407" s="12">
        <v>44403</v>
      </c>
      <c r="B407" s="20">
        <v>10200</v>
      </c>
      <c r="C407" s="20">
        <v>17900</v>
      </c>
      <c r="D407" s="20">
        <v>8400</v>
      </c>
      <c r="E407" s="20">
        <v>27200</v>
      </c>
      <c r="F407" s="20">
        <v>16700</v>
      </c>
      <c r="G407" s="14">
        <f t="shared" si="14"/>
        <v>-3.7735849056603765E-2</v>
      </c>
      <c r="H407" s="14">
        <f t="shared" si="14"/>
        <v>-2.7173913043478271E-2</v>
      </c>
      <c r="I407" s="14">
        <f t="shared" si="14"/>
        <v>-2.3255813953488413E-2</v>
      </c>
      <c r="J407" s="14">
        <f t="shared" si="14"/>
        <v>0</v>
      </c>
      <c r="K407" s="14">
        <f t="shared" si="14"/>
        <v>-1.1834319526627168E-2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5">
      <c r="A408" s="12">
        <v>44400</v>
      </c>
      <c r="B408" s="20">
        <v>10600</v>
      </c>
      <c r="C408" s="20">
        <v>18400</v>
      </c>
      <c r="D408" s="20">
        <v>8600</v>
      </c>
      <c r="E408" s="20">
        <v>27200</v>
      </c>
      <c r="F408" s="20">
        <v>16900</v>
      </c>
      <c r="G408" s="14">
        <f t="shared" si="14"/>
        <v>3.9215686274509887E-2</v>
      </c>
      <c r="H408" s="14">
        <f t="shared" si="14"/>
        <v>5.1428571428571379E-2</v>
      </c>
      <c r="I408" s="14">
        <f t="shared" si="14"/>
        <v>4.8780487804878092E-2</v>
      </c>
      <c r="J408" s="14">
        <f t="shared" si="14"/>
        <v>2.6415094339622636E-2</v>
      </c>
      <c r="K408" s="14">
        <f t="shared" si="14"/>
        <v>3.0487804878048808E-2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5">
      <c r="A409" s="12">
        <v>44399</v>
      </c>
      <c r="B409" s="20">
        <v>10200</v>
      </c>
      <c r="C409" s="20">
        <v>17500</v>
      </c>
      <c r="D409" s="20">
        <v>8200</v>
      </c>
      <c r="E409" s="20">
        <v>26500</v>
      </c>
      <c r="F409" s="20">
        <v>16400</v>
      </c>
      <c r="G409" s="14">
        <f t="shared" si="14"/>
        <v>9.9009900990099098E-3</v>
      </c>
      <c r="H409" s="14">
        <f t="shared" si="14"/>
        <v>-3.0470914127423865E-2</v>
      </c>
      <c r="I409" s="14">
        <f t="shared" si="14"/>
        <v>-2.3809523809523836E-2</v>
      </c>
      <c r="J409" s="14">
        <f t="shared" si="14"/>
        <v>1.5325670498084198E-2</v>
      </c>
      <c r="K409" s="14">
        <f t="shared" si="14"/>
        <v>2.8213166144200663E-2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5">
      <c r="A410" s="12">
        <v>44398</v>
      </c>
      <c r="B410" s="20">
        <v>10100</v>
      </c>
      <c r="C410" s="20">
        <v>18050</v>
      </c>
      <c r="D410" s="20">
        <v>8400</v>
      </c>
      <c r="E410" s="20">
        <v>26100</v>
      </c>
      <c r="F410" s="20">
        <v>15950</v>
      </c>
      <c r="G410" s="14">
        <f t="shared" si="14"/>
        <v>-9.8214285714285698E-2</v>
      </c>
      <c r="H410" s="14">
        <f t="shared" si="14"/>
        <v>-6.9587628865979356E-2</v>
      </c>
      <c r="I410" s="14">
        <f t="shared" si="14"/>
        <v>-4.5454545454545414E-2</v>
      </c>
      <c r="J410" s="14">
        <f t="shared" si="14"/>
        <v>-1.3232514177693777E-2</v>
      </c>
      <c r="K410" s="14">
        <f t="shared" si="14"/>
        <v>-5.0595238095238138E-2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5">
      <c r="A411" s="12">
        <v>44397</v>
      </c>
      <c r="B411" s="20">
        <v>11200</v>
      </c>
      <c r="C411" s="20">
        <v>19400</v>
      </c>
      <c r="D411" s="20">
        <v>8800</v>
      </c>
      <c r="E411" s="20">
        <v>26450</v>
      </c>
      <c r="F411" s="20">
        <v>16800</v>
      </c>
      <c r="G411" s="14">
        <f t="shared" si="14"/>
        <v>7.6923076923076872E-2</v>
      </c>
      <c r="H411" s="14">
        <f t="shared" si="14"/>
        <v>0</v>
      </c>
      <c r="I411" s="14">
        <f t="shared" si="14"/>
        <v>-1.1235955056179803E-2</v>
      </c>
      <c r="J411" s="14">
        <f t="shared" si="14"/>
        <v>1.3409961685823646E-2</v>
      </c>
      <c r="K411" s="14">
        <f t="shared" si="14"/>
        <v>-8.8495575221239076E-3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5">
      <c r="A412" s="12">
        <v>44396</v>
      </c>
      <c r="B412" s="20">
        <v>10400</v>
      </c>
      <c r="C412" s="20">
        <v>19400</v>
      </c>
      <c r="D412" s="20">
        <v>8900</v>
      </c>
      <c r="E412" s="20">
        <v>26100</v>
      </c>
      <c r="F412" s="20">
        <v>16950</v>
      </c>
      <c r="G412" s="14">
        <f t="shared" si="14"/>
        <v>-1.8867924528301883E-2</v>
      </c>
      <c r="H412" s="14">
        <f t="shared" si="14"/>
        <v>-4.6683046683046681E-2</v>
      </c>
      <c r="I412" s="14">
        <f t="shared" si="14"/>
        <v>0</v>
      </c>
      <c r="J412" s="14">
        <f t="shared" si="14"/>
        <v>-3.8167938931297218E-3</v>
      </c>
      <c r="K412" s="14">
        <f t="shared" si="14"/>
        <v>-1.4534883720930258E-2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5">
      <c r="A413" s="12">
        <v>44393</v>
      </c>
      <c r="B413" s="20">
        <v>10600</v>
      </c>
      <c r="C413" s="20">
        <v>20350</v>
      </c>
      <c r="D413" s="20">
        <v>8900</v>
      </c>
      <c r="E413" s="20">
        <v>26200</v>
      </c>
      <c r="F413" s="20">
        <v>17200</v>
      </c>
      <c r="G413" s="14">
        <f t="shared" si="14"/>
        <v>-4.5045045045045029E-2</v>
      </c>
      <c r="H413" s="14">
        <f t="shared" si="14"/>
        <v>2.2613065326633208E-2</v>
      </c>
      <c r="I413" s="14">
        <f t="shared" si="14"/>
        <v>1.1363636363636465E-2</v>
      </c>
      <c r="J413" s="14">
        <f t="shared" si="14"/>
        <v>-1.9047619047618536E-3</v>
      </c>
      <c r="K413" s="14">
        <f t="shared" si="14"/>
        <v>4.2424242424242475E-2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5">
      <c r="A414" s="12">
        <v>44392</v>
      </c>
      <c r="B414" s="20">
        <v>11100</v>
      </c>
      <c r="C414" s="20">
        <v>19900</v>
      </c>
      <c r="D414" s="20">
        <v>8800</v>
      </c>
      <c r="E414" s="20">
        <v>26250</v>
      </c>
      <c r="F414" s="20">
        <v>16500</v>
      </c>
      <c r="G414" s="14">
        <f t="shared" si="14"/>
        <v>2.7777777777777679E-2</v>
      </c>
      <c r="H414" s="14">
        <f t="shared" si="14"/>
        <v>5.050505050504972E-3</v>
      </c>
      <c r="I414" s="14">
        <f t="shared" si="14"/>
        <v>3.529411764705892E-2</v>
      </c>
      <c r="J414" s="14">
        <f t="shared" si="14"/>
        <v>-1.3157894736842146E-2</v>
      </c>
      <c r="K414" s="14">
        <f t="shared" si="14"/>
        <v>4.4303797468354444E-2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5">
      <c r="A415" s="12">
        <v>44391</v>
      </c>
      <c r="B415" s="20">
        <v>10800</v>
      </c>
      <c r="C415" s="20">
        <v>19800</v>
      </c>
      <c r="D415" s="20">
        <v>8500</v>
      </c>
      <c r="E415" s="20">
        <v>26600</v>
      </c>
      <c r="F415" s="20">
        <v>15800</v>
      </c>
      <c r="G415" s="14">
        <f t="shared" si="14"/>
        <v>-1.8181818181818188E-2</v>
      </c>
      <c r="H415" s="14">
        <f t="shared" si="14"/>
        <v>4.2105263157894646E-2</v>
      </c>
      <c r="I415" s="14">
        <f t="shared" si="14"/>
        <v>-1.1627906976744207E-2</v>
      </c>
      <c r="J415" s="14">
        <f t="shared" si="14"/>
        <v>0</v>
      </c>
      <c r="K415" s="14">
        <f t="shared" si="14"/>
        <v>0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5">
      <c r="A416" s="12">
        <v>44390</v>
      </c>
      <c r="B416" s="20">
        <v>11000</v>
      </c>
      <c r="C416" s="20">
        <v>19000</v>
      </c>
      <c r="D416" s="20">
        <v>8600</v>
      </c>
      <c r="E416" s="20">
        <v>26600</v>
      </c>
      <c r="F416" s="20">
        <v>15800</v>
      </c>
      <c r="G416" s="14">
        <f t="shared" si="14"/>
        <v>1.8518518518518601E-2</v>
      </c>
      <c r="H416" s="14">
        <f t="shared" si="14"/>
        <v>-4.2821158690176331E-2</v>
      </c>
      <c r="I416" s="14">
        <f t="shared" si="14"/>
        <v>0</v>
      </c>
      <c r="J416" s="14">
        <f t="shared" si="14"/>
        <v>3.7735849056603765E-3</v>
      </c>
      <c r="K416" s="14">
        <f t="shared" si="14"/>
        <v>1.2820512820512775E-2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5">
      <c r="A417" s="12">
        <v>44389</v>
      </c>
      <c r="B417" s="20">
        <v>10800</v>
      </c>
      <c r="C417" s="20">
        <v>19850</v>
      </c>
      <c r="D417" s="20">
        <v>8600</v>
      </c>
      <c r="E417" s="20">
        <v>26500</v>
      </c>
      <c r="F417" s="20">
        <v>15600</v>
      </c>
      <c r="G417" s="14">
        <f t="shared" si="14"/>
        <v>-9.9999999999999978E-2</v>
      </c>
      <c r="H417" s="14">
        <f t="shared" si="14"/>
        <v>-6.8075117370892002E-2</v>
      </c>
      <c r="I417" s="14">
        <f t="shared" si="14"/>
        <v>-4.4444444444444398E-2</v>
      </c>
      <c r="J417" s="14">
        <f t="shared" si="14"/>
        <v>-1.8832391713747842E-3</v>
      </c>
      <c r="K417" s="14">
        <f t="shared" si="14"/>
        <v>-6.8656716417910491E-2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5">
      <c r="A418" s="12">
        <v>44386</v>
      </c>
      <c r="B418" s="20">
        <v>12000</v>
      </c>
      <c r="C418" s="20">
        <v>21300</v>
      </c>
      <c r="D418" s="20">
        <v>9000</v>
      </c>
      <c r="E418" s="20">
        <v>26550</v>
      </c>
      <c r="F418" s="20">
        <v>16750</v>
      </c>
      <c r="G418" s="14">
        <f t="shared" si="14"/>
        <v>-6.9767441860465129E-2</v>
      </c>
      <c r="H418" s="14">
        <f t="shared" si="14"/>
        <v>-3.1818181818181857E-2</v>
      </c>
      <c r="I418" s="14">
        <f t="shared" si="14"/>
        <v>-1.098901098901095E-2</v>
      </c>
      <c r="J418" s="14">
        <f t="shared" si="14"/>
        <v>-2.0295202952029467E-2</v>
      </c>
      <c r="K418" s="14">
        <f t="shared" si="14"/>
        <v>-6.944444444444442E-2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5">
      <c r="A419" s="12">
        <v>44385</v>
      </c>
      <c r="B419" s="20">
        <v>12900</v>
      </c>
      <c r="C419" s="20">
        <v>22000</v>
      </c>
      <c r="D419" s="20">
        <v>9100</v>
      </c>
      <c r="E419" s="20">
        <v>27100</v>
      </c>
      <c r="F419" s="20">
        <v>18000</v>
      </c>
      <c r="G419" s="14">
        <f t="shared" si="14"/>
        <v>-5.1470588235294157E-2</v>
      </c>
      <c r="H419" s="14">
        <f t="shared" si="14"/>
        <v>1.3824884792626779E-2</v>
      </c>
      <c r="I419" s="14">
        <f t="shared" si="14"/>
        <v>0</v>
      </c>
      <c r="J419" s="14">
        <f t="shared" si="14"/>
        <v>1.848428835489857E-3</v>
      </c>
      <c r="K419" s="14">
        <f t="shared" si="14"/>
        <v>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5">
      <c r="A420" s="12">
        <v>44384</v>
      </c>
      <c r="B420" s="20">
        <v>13600</v>
      </c>
      <c r="C420" s="20">
        <v>21700</v>
      </c>
      <c r="D420" s="20">
        <v>9100</v>
      </c>
      <c r="E420" s="20">
        <v>27050</v>
      </c>
      <c r="F420" s="20">
        <v>18000</v>
      </c>
      <c r="G420" s="14">
        <f t="shared" si="14"/>
        <v>-9.9337748344370813E-2</v>
      </c>
      <c r="H420" s="14">
        <f t="shared" si="14"/>
        <v>-6.8669527896995763E-2</v>
      </c>
      <c r="I420" s="14">
        <f t="shared" si="14"/>
        <v>-4.2105263157894757E-2</v>
      </c>
      <c r="J420" s="14">
        <f t="shared" si="14"/>
        <v>-2.6978417266187105E-2</v>
      </c>
      <c r="K420" s="14">
        <f t="shared" si="14"/>
        <v>-6.9767441860465129E-2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5">
      <c r="A421" s="12">
        <v>44383</v>
      </c>
      <c r="B421" s="20">
        <v>15100</v>
      </c>
      <c r="C421" s="20">
        <v>23300</v>
      </c>
      <c r="D421" s="20">
        <v>9500</v>
      </c>
      <c r="E421" s="20">
        <v>27800</v>
      </c>
      <c r="F421" s="20">
        <v>19350</v>
      </c>
      <c r="G421" s="14">
        <f t="shared" si="14"/>
        <v>-6.5789473684210176E-3</v>
      </c>
      <c r="H421" s="14">
        <f t="shared" si="14"/>
        <v>4.3103448275862988E-3</v>
      </c>
      <c r="I421" s="14">
        <f t="shared" si="14"/>
        <v>0</v>
      </c>
      <c r="J421" s="14">
        <f t="shared" si="14"/>
        <v>-1.7953321364452268E-3</v>
      </c>
      <c r="K421" s="14">
        <f t="shared" si="14"/>
        <v>4.0322580645161255E-2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5">
      <c r="A422" s="12">
        <v>44382</v>
      </c>
      <c r="B422" s="20">
        <v>15200</v>
      </c>
      <c r="C422" s="20">
        <v>23200</v>
      </c>
      <c r="D422" s="20">
        <v>9500</v>
      </c>
      <c r="E422" s="20">
        <v>27850</v>
      </c>
      <c r="F422" s="20">
        <v>18600</v>
      </c>
      <c r="G422" s="14">
        <f t="shared" si="14"/>
        <v>-1.2987012987012991E-2</v>
      </c>
      <c r="H422" s="14">
        <f t="shared" si="14"/>
        <v>4.3290043290042934E-3</v>
      </c>
      <c r="I422" s="14">
        <f t="shared" si="14"/>
        <v>1.0638297872340496E-2</v>
      </c>
      <c r="J422" s="14">
        <f t="shared" si="14"/>
        <v>-5.3571428571428381E-3</v>
      </c>
      <c r="K422" s="14">
        <f t="shared" si="14"/>
        <v>2.6954177897573484E-3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35">
      <c r="A423" s="12">
        <v>44379</v>
      </c>
      <c r="B423" s="20">
        <v>15400</v>
      </c>
      <c r="C423" s="20">
        <v>23100</v>
      </c>
      <c r="D423" s="20">
        <v>9400</v>
      </c>
      <c r="E423" s="20">
        <v>28000</v>
      </c>
      <c r="F423" s="20">
        <v>18550</v>
      </c>
      <c r="G423" s="14">
        <f t="shared" si="14"/>
        <v>1.3157894736842035E-2</v>
      </c>
      <c r="H423" s="14">
        <f t="shared" si="14"/>
        <v>2.1691973969630851E-3</v>
      </c>
      <c r="I423" s="14">
        <f t="shared" si="14"/>
        <v>0</v>
      </c>
      <c r="J423" s="14">
        <f t="shared" si="14"/>
        <v>1.7889087656528524E-3</v>
      </c>
      <c r="K423" s="14">
        <f t="shared" si="14"/>
        <v>-1.591511936339518E-2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35">
      <c r="A424" s="12">
        <v>44378</v>
      </c>
      <c r="B424" s="20">
        <v>15200</v>
      </c>
      <c r="C424" s="20">
        <v>23050</v>
      </c>
      <c r="D424" s="20">
        <v>9400</v>
      </c>
      <c r="E424" s="20">
        <v>27950</v>
      </c>
      <c r="F424" s="20">
        <v>18850</v>
      </c>
      <c r="G424" s="14">
        <f t="shared" si="14"/>
        <v>1.3333333333333419E-2</v>
      </c>
      <c r="H424" s="14">
        <f t="shared" si="14"/>
        <v>2.1739130434783593E-3</v>
      </c>
      <c r="I424" s="14">
        <f t="shared" si="14"/>
        <v>1.0752688172043001E-2</v>
      </c>
      <c r="J424" s="14">
        <f t="shared" si="14"/>
        <v>9.0252707581226499E-3</v>
      </c>
      <c r="K424" s="14">
        <f t="shared" si="14"/>
        <v>2.4456521739130377E-2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5">
      <c r="A425" s="12">
        <v>44377</v>
      </c>
      <c r="B425" s="20">
        <v>15000</v>
      </c>
      <c r="C425" s="20">
        <v>23000</v>
      </c>
      <c r="D425" s="20">
        <v>9300</v>
      </c>
      <c r="E425" s="20">
        <v>27700</v>
      </c>
      <c r="F425" s="20">
        <v>18400</v>
      </c>
      <c r="G425" s="14">
        <f t="shared" ref="G425:K455" si="15">B425/B426-1</f>
        <v>6.7114093959732557E-3</v>
      </c>
      <c r="H425" s="14">
        <f t="shared" si="15"/>
        <v>-4.3290043290042934E-3</v>
      </c>
      <c r="I425" s="14">
        <f t="shared" si="15"/>
        <v>-1.0638297872340385E-2</v>
      </c>
      <c r="J425" s="14">
        <f t="shared" si="15"/>
        <v>9.1074681238616506E-3</v>
      </c>
      <c r="K425" s="14">
        <f t="shared" si="15"/>
        <v>2.7247956403269047E-3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35">
      <c r="A426" s="12">
        <v>44376</v>
      </c>
      <c r="B426" s="20">
        <v>14900</v>
      </c>
      <c r="C426" s="20">
        <v>23100</v>
      </c>
      <c r="D426" s="20">
        <v>9400</v>
      </c>
      <c r="E426" s="20">
        <v>27450</v>
      </c>
      <c r="F426" s="20">
        <v>18350</v>
      </c>
      <c r="G426" s="14">
        <f t="shared" si="15"/>
        <v>-3.2467532467532423E-2</v>
      </c>
      <c r="H426" s="14">
        <f t="shared" si="15"/>
        <v>-2.5316455696202556E-2</v>
      </c>
      <c r="I426" s="14">
        <f t="shared" si="15"/>
        <v>-1.0526315789473717E-2</v>
      </c>
      <c r="J426" s="14">
        <f t="shared" si="15"/>
        <v>-3.1746031746031744E-2</v>
      </c>
      <c r="K426" s="14">
        <f t="shared" si="15"/>
        <v>-5.4123711340206215E-2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35">
      <c r="A427" s="12">
        <v>44375</v>
      </c>
      <c r="B427" s="20">
        <v>15400</v>
      </c>
      <c r="C427" s="20">
        <v>23700</v>
      </c>
      <c r="D427" s="20">
        <v>9500</v>
      </c>
      <c r="E427" s="20">
        <v>28350</v>
      </c>
      <c r="F427" s="20">
        <v>19400</v>
      </c>
      <c r="G427" s="14">
        <f t="shared" si="15"/>
        <v>0</v>
      </c>
      <c r="H427" s="14">
        <f t="shared" si="15"/>
        <v>-4.2016806722688926E-3</v>
      </c>
      <c r="I427" s="14">
        <f t="shared" si="15"/>
        <v>0</v>
      </c>
      <c r="J427" s="14">
        <f t="shared" si="15"/>
        <v>-7.0052539404553693E-3</v>
      </c>
      <c r="K427" s="14">
        <f t="shared" si="15"/>
        <v>1.3054830287206221E-2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35">
      <c r="A428" s="12">
        <v>44372</v>
      </c>
      <c r="B428" s="20">
        <v>15400</v>
      </c>
      <c r="C428" s="20">
        <v>23800</v>
      </c>
      <c r="D428" s="20">
        <v>9500</v>
      </c>
      <c r="E428" s="20">
        <v>28550</v>
      </c>
      <c r="F428" s="20">
        <v>19150</v>
      </c>
      <c r="G428" s="14">
        <f t="shared" si="15"/>
        <v>-1.9108280254777066E-2</v>
      </c>
      <c r="H428" s="14">
        <f t="shared" si="15"/>
        <v>-1.6528925619834656E-2</v>
      </c>
      <c r="I428" s="14">
        <f t="shared" si="15"/>
        <v>-1.041666666666663E-2</v>
      </c>
      <c r="J428" s="14">
        <f t="shared" si="15"/>
        <v>-6.9565217391304168E-3</v>
      </c>
      <c r="K428" s="14">
        <f t="shared" si="15"/>
        <v>-2.6041666666666297E-3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35">
      <c r="A429" s="12">
        <v>44371</v>
      </c>
      <c r="B429" s="20">
        <v>15700</v>
      </c>
      <c r="C429" s="20">
        <v>24200</v>
      </c>
      <c r="D429" s="20">
        <v>9600</v>
      </c>
      <c r="E429" s="20">
        <v>28750</v>
      </c>
      <c r="F429" s="20">
        <v>19200</v>
      </c>
      <c r="G429" s="14">
        <f t="shared" si="15"/>
        <v>1.9480519480519431E-2</v>
      </c>
      <c r="H429" s="14">
        <f t="shared" si="15"/>
        <v>4.1493775933609811E-3</v>
      </c>
      <c r="I429" s="14">
        <f t="shared" si="15"/>
        <v>-1.0309278350515427E-2</v>
      </c>
      <c r="J429" s="14">
        <f t="shared" si="15"/>
        <v>1.7421602787457413E-3</v>
      </c>
      <c r="K429" s="14">
        <f t="shared" si="15"/>
        <v>1.5873015873015817E-2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35">
      <c r="A430" s="12">
        <v>44370</v>
      </c>
      <c r="B430" s="20">
        <v>15400</v>
      </c>
      <c r="C430" s="20">
        <v>24100</v>
      </c>
      <c r="D430" s="20">
        <v>9700</v>
      </c>
      <c r="E430" s="20">
        <v>28700</v>
      </c>
      <c r="F430" s="20">
        <v>18900</v>
      </c>
      <c r="G430" s="14">
        <f t="shared" si="15"/>
        <v>-6.0975609756097615E-2</v>
      </c>
      <c r="H430" s="14">
        <f t="shared" si="15"/>
        <v>-2.8225806451612878E-2</v>
      </c>
      <c r="I430" s="14">
        <f t="shared" si="15"/>
        <v>-2.0202020202020221E-2</v>
      </c>
      <c r="J430" s="14">
        <f t="shared" si="15"/>
        <v>-3.4722222222222099E-3</v>
      </c>
      <c r="K430" s="14">
        <f t="shared" si="15"/>
        <v>-6.8965517241379337E-2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35">
      <c r="A431" s="12">
        <v>44369</v>
      </c>
      <c r="B431" s="20">
        <v>16400</v>
      </c>
      <c r="C431" s="20">
        <v>24800</v>
      </c>
      <c r="D431" s="20">
        <v>9900</v>
      </c>
      <c r="E431" s="20">
        <v>28800</v>
      </c>
      <c r="F431" s="20">
        <v>20300</v>
      </c>
      <c r="G431" s="14">
        <f t="shared" si="15"/>
        <v>0</v>
      </c>
      <c r="H431" s="14">
        <f t="shared" si="15"/>
        <v>-1.195219123505975E-2</v>
      </c>
      <c r="I431" s="14">
        <f t="shared" si="15"/>
        <v>0</v>
      </c>
      <c r="J431" s="14">
        <f t="shared" si="15"/>
        <v>0</v>
      </c>
      <c r="K431" s="14">
        <f t="shared" si="15"/>
        <v>-9.7560975609756184E-3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35">
      <c r="A432" s="12">
        <v>44368</v>
      </c>
      <c r="B432" s="20">
        <v>16400</v>
      </c>
      <c r="C432" s="20">
        <v>25100</v>
      </c>
      <c r="D432" s="20">
        <v>9900</v>
      </c>
      <c r="E432" s="20">
        <v>28800</v>
      </c>
      <c r="F432" s="20">
        <v>20500</v>
      </c>
      <c r="G432" s="14">
        <f t="shared" si="15"/>
        <v>0</v>
      </c>
      <c r="H432" s="14">
        <f t="shared" si="15"/>
        <v>1.2096774193548487E-2</v>
      </c>
      <c r="I432" s="14">
        <f t="shared" si="15"/>
        <v>0</v>
      </c>
      <c r="J432" s="14">
        <f t="shared" si="15"/>
        <v>-3.4602076124568004E-3</v>
      </c>
      <c r="K432" s="14">
        <f t="shared" si="15"/>
        <v>2.7568922305764465E-2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35">
      <c r="A433" s="12">
        <v>44365</v>
      </c>
      <c r="B433" s="20">
        <v>16400</v>
      </c>
      <c r="C433" s="20">
        <v>24800</v>
      </c>
      <c r="D433" s="20">
        <v>9900</v>
      </c>
      <c r="E433" s="20">
        <v>28900</v>
      </c>
      <c r="F433" s="20">
        <v>19950</v>
      </c>
      <c r="G433" s="14">
        <f t="shared" si="15"/>
        <v>1.2345679012345734E-2</v>
      </c>
      <c r="H433" s="14">
        <f t="shared" si="15"/>
        <v>4.0485829959513442E-3</v>
      </c>
      <c r="I433" s="14">
        <f t="shared" si="15"/>
        <v>-1.0000000000000009E-2</v>
      </c>
      <c r="J433" s="14">
        <f t="shared" si="15"/>
        <v>1.7331022530329143E-3</v>
      </c>
      <c r="K433" s="14">
        <f t="shared" si="15"/>
        <v>-7.4626865671642006E-3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35">
      <c r="A434" s="12">
        <v>44364</v>
      </c>
      <c r="B434" s="20">
        <v>16200</v>
      </c>
      <c r="C434" s="20">
        <v>24700</v>
      </c>
      <c r="D434" s="20">
        <v>10000</v>
      </c>
      <c r="E434" s="20">
        <v>28850</v>
      </c>
      <c r="F434" s="20">
        <v>20100</v>
      </c>
      <c r="G434" s="14">
        <f t="shared" si="15"/>
        <v>-6.1349693251533388E-3</v>
      </c>
      <c r="H434" s="14">
        <f t="shared" si="15"/>
        <v>-1.2000000000000011E-2</v>
      </c>
      <c r="I434" s="14">
        <f t="shared" si="15"/>
        <v>-9.9009900990099098E-3</v>
      </c>
      <c r="J434" s="14">
        <f t="shared" si="15"/>
        <v>-5.1724137931034031E-3</v>
      </c>
      <c r="K434" s="14">
        <f t="shared" si="15"/>
        <v>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35">
      <c r="A435" s="12">
        <v>44363</v>
      </c>
      <c r="B435" s="20">
        <v>16300</v>
      </c>
      <c r="C435" s="20">
        <v>25000</v>
      </c>
      <c r="D435" s="20">
        <v>10100</v>
      </c>
      <c r="E435" s="20">
        <v>29000</v>
      </c>
      <c r="F435" s="20">
        <v>20100</v>
      </c>
      <c r="G435" s="14">
        <f t="shared" si="15"/>
        <v>0</v>
      </c>
      <c r="H435" s="14">
        <f t="shared" si="15"/>
        <v>-7.9365079365079083E-3</v>
      </c>
      <c r="I435" s="14">
        <f t="shared" si="15"/>
        <v>-9.8039215686274161E-3</v>
      </c>
      <c r="J435" s="14">
        <f t="shared" si="15"/>
        <v>5.199306759098743E-3</v>
      </c>
      <c r="K435" s="14">
        <f t="shared" si="15"/>
        <v>-6.944444444444442E-2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35">
      <c r="A436" s="12">
        <v>44362</v>
      </c>
      <c r="B436" s="20">
        <v>16300</v>
      </c>
      <c r="C436" s="20">
        <v>25200</v>
      </c>
      <c r="D436" s="20">
        <v>10200</v>
      </c>
      <c r="E436" s="20">
        <v>28850</v>
      </c>
      <c r="F436" s="20">
        <v>21600</v>
      </c>
      <c r="G436" s="14">
        <f t="shared" si="15"/>
        <v>-6.0975609756097615E-3</v>
      </c>
      <c r="H436" s="14">
        <f t="shared" si="15"/>
        <v>-3.9525691699604515E-3</v>
      </c>
      <c r="I436" s="14">
        <f t="shared" si="15"/>
        <v>-9.7087378640776656E-3</v>
      </c>
      <c r="J436" s="14">
        <f t="shared" si="15"/>
        <v>-3.4542314335060942E-3</v>
      </c>
      <c r="K436" s="14">
        <f t="shared" si="15"/>
        <v>-1.1441647597253968E-2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35">
      <c r="A437" s="12">
        <v>44361</v>
      </c>
      <c r="B437" s="20">
        <v>16400</v>
      </c>
      <c r="C437" s="20">
        <v>25300</v>
      </c>
      <c r="D437" s="20">
        <v>10300</v>
      </c>
      <c r="E437" s="20">
        <v>28950</v>
      </c>
      <c r="F437" s="20">
        <v>21850</v>
      </c>
      <c r="G437" s="14">
        <f t="shared" si="15"/>
        <v>-6.0606060606060996E-3</v>
      </c>
      <c r="H437" s="14">
        <f t="shared" si="15"/>
        <v>2.2222222222222143E-2</v>
      </c>
      <c r="I437" s="14">
        <f t="shared" si="15"/>
        <v>0</v>
      </c>
      <c r="J437" s="14">
        <f t="shared" si="15"/>
        <v>-3.4423407917383297E-3</v>
      </c>
      <c r="K437" s="14">
        <f t="shared" si="15"/>
        <v>6.8459657701711585E-2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35">
      <c r="A438" s="12">
        <v>44358</v>
      </c>
      <c r="B438" s="20">
        <v>16500</v>
      </c>
      <c r="C438" s="20">
        <v>24750</v>
      </c>
      <c r="D438" s="20">
        <v>10300</v>
      </c>
      <c r="E438" s="20">
        <v>29050</v>
      </c>
      <c r="F438" s="20">
        <v>20450</v>
      </c>
      <c r="G438" s="14">
        <f t="shared" si="15"/>
        <v>1.8518518518518601E-2</v>
      </c>
      <c r="H438" s="14">
        <f t="shared" si="15"/>
        <v>2.0242914979757831E-3</v>
      </c>
      <c r="I438" s="14">
        <f t="shared" si="15"/>
        <v>0</v>
      </c>
      <c r="J438" s="14">
        <f t="shared" si="15"/>
        <v>-8.5324232081911422E-3</v>
      </c>
      <c r="K438" s="14">
        <f t="shared" si="15"/>
        <v>6.788511749347248E-2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35">
      <c r="A439" s="12">
        <v>44357</v>
      </c>
      <c r="B439" s="20">
        <v>16200</v>
      </c>
      <c r="C439" s="20">
        <v>24700</v>
      </c>
      <c r="D439" s="20">
        <v>10300</v>
      </c>
      <c r="E439" s="20">
        <v>29300</v>
      </c>
      <c r="F439" s="20">
        <v>19150</v>
      </c>
      <c r="G439" s="14">
        <f t="shared" si="15"/>
        <v>6.2111801242235032E-3</v>
      </c>
      <c r="H439" s="14">
        <f t="shared" si="15"/>
        <v>-2.0202020202020332E-3</v>
      </c>
      <c r="I439" s="14">
        <f t="shared" si="15"/>
        <v>9.8039215686274161E-3</v>
      </c>
      <c r="J439" s="14">
        <f t="shared" si="15"/>
        <v>-8.4602368866327771E-3</v>
      </c>
      <c r="K439" s="14">
        <f t="shared" si="15"/>
        <v>3.2345013477088846E-2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35">
      <c r="A440" s="12">
        <v>44356</v>
      </c>
      <c r="B440" s="20">
        <v>16100</v>
      </c>
      <c r="C440" s="20">
        <v>24750</v>
      </c>
      <c r="D440" s="20">
        <v>10200</v>
      </c>
      <c r="E440" s="20">
        <v>29550</v>
      </c>
      <c r="F440" s="20">
        <v>18550</v>
      </c>
      <c r="G440" s="14">
        <f t="shared" si="15"/>
        <v>-1.8292682926829285E-2</v>
      </c>
      <c r="H440" s="14">
        <f t="shared" si="15"/>
        <v>-6.0240963855421326E-3</v>
      </c>
      <c r="I440" s="14">
        <f t="shared" si="15"/>
        <v>-9.7087378640776656E-3</v>
      </c>
      <c r="J440" s="14">
        <f t="shared" si="15"/>
        <v>3.3955857385399302E-3</v>
      </c>
      <c r="K440" s="14">
        <f t="shared" si="15"/>
        <v>8.152173913043459E-3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5">
      <c r="A441" s="12">
        <v>44355</v>
      </c>
      <c r="B441" s="20">
        <v>16400</v>
      </c>
      <c r="C441" s="20">
        <v>24900</v>
      </c>
      <c r="D441" s="20">
        <v>10300</v>
      </c>
      <c r="E441" s="20">
        <v>29450</v>
      </c>
      <c r="F441" s="20">
        <v>18400</v>
      </c>
      <c r="G441" s="14">
        <f t="shared" si="15"/>
        <v>-2.9585798816568087E-2</v>
      </c>
      <c r="H441" s="14">
        <f t="shared" si="15"/>
        <v>-2.0040080160320661E-3</v>
      </c>
      <c r="I441" s="14">
        <f t="shared" si="15"/>
        <v>0</v>
      </c>
      <c r="J441" s="14">
        <f t="shared" si="15"/>
        <v>-6.7453625632377667E-3</v>
      </c>
      <c r="K441" s="14">
        <f t="shared" si="15"/>
        <v>2.2222222222222143E-2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5">
      <c r="A442" s="12">
        <v>44354</v>
      </c>
      <c r="B442" s="20">
        <v>16900</v>
      </c>
      <c r="C442" s="20">
        <v>24950</v>
      </c>
      <c r="D442" s="20">
        <v>10300</v>
      </c>
      <c r="E442" s="20">
        <v>29650</v>
      </c>
      <c r="F442" s="20">
        <v>18000</v>
      </c>
      <c r="G442" s="14">
        <f t="shared" si="15"/>
        <v>4.9689440993788914E-2</v>
      </c>
      <c r="H442" s="14">
        <f t="shared" si="15"/>
        <v>-2.0000000000000018E-3</v>
      </c>
      <c r="I442" s="14">
        <f t="shared" si="15"/>
        <v>9.8039215686274161E-3</v>
      </c>
      <c r="J442" s="14">
        <f t="shared" si="15"/>
        <v>1.6891891891892552E-3</v>
      </c>
      <c r="K442" s="14">
        <f t="shared" si="15"/>
        <v>1.9830028328611915E-2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5">
      <c r="A443" s="12">
        <v>44351</v>
      </c>
      <c r="B443" s="20">
        <v>16100</v>
      </c>
      <c r="C443" s="20">
        <v>25000</v>
      </c>
      <c r="D443" s="20">
        <v>10200</v>
      </c>
      <c r="E443" s="20">
        <v>29600</v>
      </c>
      <c r="F443" s="20">
        <v>17650</v>
      </c>
      <c r="G443" s="14">
        <f t="shared" si="15"/>
        <v>2.5477707006369421E-2</v>
      </c>
      <c r="H443" s="14">
        <f t="shared" si="15"/>
        <v>8.0645161290322509E-3</v>
      </c>
      <c r="I443" s="14">
        <f t="shared" si="15"/>
        <v>0</v>
      </c>
      <c r="J443" s="14">
        <f t="shared" si="15"/>
        <v>-3.3670033670033517E-3</v>
      </c>
      <c r="K443" s="14">
        <f t="shared" si="15"/>
        <v>-8.4269662921347965E-3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5">
      <c r="A444" s="12">
        <v>44350</v>
      </c>
      <c r="B444" s="20">
        <v>15700</v>
      </c>
      <c r="C444" s="20">
        <v>24800</v>
      </c>
      <c r="D444" s="20">
        <v>10200</v>
      </c>
      <c r="E444" s="20">
        <v>29700</v>
      </c>
      <c r="F444" s="20">
        <v>17800</v>
      </c>
      <c r="G444" s="14">
        <f t="shared" si="15"/>
        <v>6.4102564102563875E-3</v>
      </c>
      <c r="H444" s="14">
        <f t="shared" si="15"/>
        <v>0</v>
      </c>
      <c r="I444" s="14">
        <f t="shared" si="15"/>
        <v>-9.7087378640776656E-3</v>
      </c>
      <c r="J444" s="14">
        <f t="shared" si="15"/>
        <v>6.7796610169490457E-3</v>
      </c>
      <c r="K444" s="14">
        <f t="shared" si="15"/>
        <v>-8.3565459610027704E-3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35">
      <c r="A445" s="12">
        <v>44349</v>
      </c>
      <c r="B445" s="20">
        <v>15600</v>
      </c>
      <c r="C445" s="20">
        <v>24800</v>
      </c>
      <c r="D445" s="20">
        <v>10300</v>
      </c>
      <c r="E445" s="20">
        <v>29500</v>
      </c>
      <c r="F445" s="20">
        <v>17950</v>
      </c>
      <c r="G445" s="14">
        <f t="shared" si="15"/>
        <v>-4.2944785276073594E-2</v>
      </c>
      <c r="H445" s="14">
        <f t="shared" si="15"/>
        <v>-2.7450980392156876E-2</v>
      </c>
      <c r="I445" s="14">
        <f t="shared" si="15"/>
        <v>-9.6153846153845812E-3</v>
      </c>
      <c r="J445" s="14">
        <f t="shared" si="15"/>
        <v>-8.4033613445377853E-3</v>
      </c>
      <c r="K445" s="14">
        <f t="shared" si="15"/>
        <v>-5.0264550264550234E-2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35">
      <c r="A446" s="12">
        <v>44348</v>
      </c>
      <c r="B446" s="20">
        <v>16300</v>
      </c>
      <c r="C446" s="20">
        <v>25500</v>
      </c>
      <c r="D446" s="20">
        <v>10400</v>
      </c>
      <c r="E446" s="20">
        <v>29750</v>
      </c>
      <c r="F446" s="20">
        <v>18900</v>
      </c>
      <c r="G446" s="14">
        <f t="shared" si="15"/>
        <v>-5.7803468208092457E-2</v>
      </c>
      <c r="H446" s="14">
        <f t="shared" si="15"/>
        <v>-1.5444015444015413E-2</v>
      </c>
      <c r="I446" s="14">
        <f t="shared" si="15"/>
        <v>0</v>
      </c>
      <c r="J446" s="14">
        <f t="shared" si="15"/>
        <v>-1.490066225165565E-2</v>
      </c>
      <c r="K446" s="14">
        <f t="shared" si="15"/>
        <v>1.0695187165775444E-2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35">
      <c r="A447" s="12">
        <v>44347</v>
      </c>
      <c r="B447" s="20">
        <v>17300</v>
      </c>
      <c r="C447" s="20">
        <v>25900</v>
      </c>
      <c r="D447" s="20">
        <v>10400</v>
      </c>
      <c r="E447" s="20">
        <v>30200</v>
      </c>
      <c r="F447" s="20">
        <v>18700</v>
      </c>
      <c r="G447" s="14">
        <f t="shared" si="15"/>
        <v>-5.4644808743169349E-2</v>
      </c>
      <c r="H447" s="14">
        <f t="shared" si="15"/>
        <v>-7.6628352490420992E-3</v>
      </c>
      <c r="I447" s="14">
        <f t="shared" si="15"/>
        <v>-4.587155963302747E-2</v>
      </c>
      <c r="J447" s="14">
        <f t="shared" si="15"/>
        <v>3.3222591362125353E-3</v>
      </c>
      <c r="K447" s="14">
        <f t="shared" si="15"/>
        <v>6.8571428571428505E-2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35">
      <c r="A448" s="12">
        <v>44344</v>
      </c>
      <c r="B448" s="20">
        <v>18300</v>
      </c>
      <c r="C448" s="20">
        <v>26100</v>
      </c>
      <c r="D448" s="20">
        <v>10900</v>
      </c>
      <c r="E448" s="20">
        <v>30100</v>
      </c>
      <c r="F448" s="20">
        <v>17500</v>
      </c>
      <c r="G448" s="14">
        <f t="shared" si="15"/>
        <v>0</v>
      </c>
      <c r="H448" s="14">
        <f t="shared" si="15"/>
        <v>3.8461538461538325E-3</v>
      </c>
      <c r="I448" s="14">
        <f t="shared" si="15"/>
        <v>9.000000000000008E-2</v>
      </c>
      <c r="J448" s="14">
        <f t="shared" si="15"/>
        <v>1.0067114093959662E-2</v>
      </c>
      <c r="K448" s="14">
        <f t="shared" si="15"/>
        <v>6.7073170731707377E-2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35">
      <c r="A449" s="12">
        <v>44343</v>
      </c>
      <c r="B449" s="20">
        <v>18300</v>
      </c>
      <c r="C449" s="20">
        <v>26000</v>
      </c>
      <c r="D449" s="20">
        <v>10000</v>
      </c>
      <c r="E449" s="20">
        <v>29800</v>
      </c>
      <c r="F449" s="20">
        <v>16400</v>
      </c>
      <c r="G449" s="14">
        <f t="shared" si="15"/>
        <v>2.8089887640449396E-2</v>
      </c>
      <c r="H449" s="14">
        <f t="shared" si="15"/>
        <v>1.5625E-2</v>
      </c>
      <c r="I449" s="14">
        <f t="shared" si="15"/>
        <v>2.0408163265306145E-2</v>
      </c>
      <c r="J449" s="14">
        <f t="shared" si="15"/>
        <v>5.0590219224282418E-3</v>
      </c>
      <c r="K449" s="14">
        <f t="shared" si="15"/>
        <v>6.1349693251533388E-3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35">
      <c r="A450" s="12">
        <v>44342</v>
      </c>
      <c r="B450" s="20">
        <v>17800</v>
      </c>
      <c r="C450" s="20">
        <v>25600</v>
      </c>
      <c r="D450" s="20">
        <v>9800</v>
      </c>
      <c r="E450" s="20">
        <v>29650</v>
      </c>
      <c r="F450" s="20">
        <v>16300</v>
      </c>
      <c r="G450" s="14">
        <f t="shared" si="15"/>
        <v>-5.5865921787709993E-3</v>
      </c>
      <c r="H450" s="14">
        <f t="shared" si="15"/>
        <v>-1.9493177387914784E-3</v>
      </c>
      <c r="I450" s="14">
        <f t="shared" si="15"/>
        <v>0</v>
      </c>
      <c r="J450" s="14">
        <f t="shared" si="15"/>
        <v>-1.6835016835017313E-3</v>
      </c>
      <c r="K450" s="14">
        <f t="shared" si="15"/>
        <v>-6.0975609756097615E-3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5">
      <c r="A451" s="12">
        <v>44341</v>
      </c>
      <c r="B451" s="20">
        <v>17900</v>
      </c>
      <c r="C451" s="20">
        <v>25650</v>
      </c>
      <c r="D451" s="20">
        <v>9800</v>
      </c>
      <c r="E451" s="20">
        <v>29700</v>
      </c>
      <c r="F451" s="20">
        <v>16400</v>
      </c>
      <c r="G451" s="14">
        <f t="shared" si="15"/>
        <v>-5.5555555555555358E-3</v>
      </c>
      <c r="H451" s="14">
        <f t="shared" si="15"/>
        <v>0</v>
      </c>
      <c r="I451" s="14">
        <f t="shared" si="15"/>
        <v>0</v>
      </c>
      <c r="J451" s="14">
        <f t="shared" si="15"/>
        <v>-5.0251256281407253E-3</v>
      </c>
      <c r="K451" s="14">
        <f t="shared" si="15"/>
        <v>6.1349693251533388E-3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5">
      <c r="A452" s="12">
        <v>44340</v>
      </c>
      <c r="B452" s="20">
        <v>18000</v>
      </c>
      <c r="C452" s="20">
        <v>25650</v>
      </c>
      <c r="D452" s="20">
        <v>9800</v>
      </c>
      <c r="E452" s="20">
        <v>29850</v>
      </c>
      <c r="F452" s="20">
        <v>16300</v>
      </c>
      <c r="G452" s="14">
        <f t="shared" si="15"/>
        <v>1.1235955056179803E-2</v>
      </c>
      <c r="H452" s="14">
        <f t="shared" si="15"/>
        <v>0</v>
      </c>
      <c r="I452" s="14">
        <f t="shared" si="15"/>
        <v>-2.0000000000000018E-2</v>
      </c>
      <c r="J452" s="14">
        <f t="shared" si="15"/>
        <v>6.7453625632378778E-3</v>
      </c>
      <c r="K452" s="14">
        <f t="shared" si="15"/>
        <v>-1.2121212121212088E-2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5">
      <c r="A453" s="12">
        <v>44337</v>
      </c>
      <c r="B453" s="20">
        <v>17800</v>
      </c>
      <c r="C453" s="20">
        <v>25650</v>
      </c>
      <c r="D453" s="20">
        <v>10000</v>
      </c>
      <c r="E453" s="20">
        <v>29650</v>
      </c>
      <c r="F453" s="20">
        <v>16500</v>
      </c>
      <c r="G453" s="14">
        <f t="shared" si="15"/>
        <v>-1.1111111111111072E-2</v>
      </c>
      <c r="H453" s="14">
        <f t="shared" si="15"/>
        <v>-1.9455252918287869E-3</v>
      </c>
      <c r="I453" s="14">
        <f t="shared" si="15"/>
        <v>0</v>
      </c>
      <c r="J453" s="14">
        <f t="shared" si="15"/>
        <v>5.0847457627118953E-3</v>
      </c>
      <c r="K453" s="14">
        <f t="shared" si="15"/>
        <v>-1.4925373134328401E-2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5">
      <c r="A454" s="12">
        <v>44336</v>
      </c>
      <c r="B454" s="20">
        <v>18000</v>
      </c>
      <c r="C454" s="20">
        <v>25700</v>
      </c>
      <c r="D454" s="20">
        <v>10000</v>
      </c>
      <c r="E454" s="20">
        <v>29500</v>
      </c>
      <c r="F454" s="20">
        <v>16750</v>
      </c>
      <c r="G454" s="14">
        <f t="shared" si="15"/>
        <v>0</v>
      </c>
      <c r="H454" s="14">
        <f t="shared" si="15"/>
        <v>-7.7220077220077066E-3</v>
      </c>
      <c r="I454" s="14">
        <f t="shared" si="15"/>
        <v>0</v>
      </c>
      <c r="J454" s="14">
        <f t="shared" si="15"/>
        <v>-2.1558872305140975E-2</v>
      </c>
      <c r="K454" s="14">
        <f t="shared" si="15"/>
        <v>9.0361445783131433E-3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5">
      <c r="A455" s="12">
        <v>44335</v>
      </c>
      <c r="B455" s="20">
        <v>18000</v>
      </c>
      <c r="C455" s="20">
        <v>25900</v>
      </c>
      <c r="D455" s="20">
        <v>10000</v>
      </c>
      <c r="E455" s="20">
        <v>30150</v>
      </c>
      <c r="F455" s="20">
        <v>16600</v>
      </c>
      <c r="G455" s="14">
        <f t="shared" si="15"/>
        <v>-2.1739130434782594E-2</v>
      </c>
      <c r="H455" s="14">
        <f t="shared" si="15"/>
        <v>-1.9267822736031004E-3</v>
      </c>
      <c r="I455" s="14">
        <f t="shared" si="15"/>
        <v>0</v>
      </c>
      <c r="J455" s="14">
        <f t="shared" si="15"/>
        <v>-8.2236842105263275E-3</v>
      </c>
      <c r="K455" s="14">
        <f t="shared" si="15"/>
        <v>0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5">
      <c r="A456" s="12">
        <v>44334</v>
      </c>
      <c r="B456" s="20">
        <v>18400</v>
      </c>
      <c r="C456" s="20">
        <v>25950</v>
      </c>
      <c r="D456" s="20">
        <v>10000</v>
      </c>
      <c r="E456" s="20">
        <v>30400</v>
      </c>
      <c r="F456" s="20">
        <v>16600</v>
      </c>
      <c r="G456" s="14"/>
      <c r="H456" s="14"/>
      <c r="I456" s="14"/>
      <c r="J456" s="14"/>
      <c r="K456" s="1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</sheetData>
  <mergeCells count="14">
    <mergeCell ref="A1:K1"/>
    <mergeCell ref="A2:A3"/>
    <mergeCell ref="B2:F2"/>
    <mergeCell ref="G2:K2"/>
    <mergeCell ref="M2:R2"/>
    <mergeCell ref="S29:U29"/>
    <mergeCell ref="M32:O32"/>
    <mergeCell ref="Z2:AA2"/>
    <mergeCell ref="M11:Y11"/>
    <mergeCell ref="M24:O24"/>
    <mergeCell ref="P24:Q24"/>
    <mergeCell ref="S24:V24"/>
    <mergeCell ref="S28:U28"/>
    <mergeCell ref="S2:X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E93C-AA2E-4D37-81A4-9732CF93D870}">
  <dimension ref="A1:AK456"/>
  <sheetViews>
    <sheetView topLeftCell="R16" zoomScale="115" zoomScaleNormal="115" workbookViewId="0">
      <selection activeCell="S29" sqref="S29:U29"/>
    </sheetView>
  </sheetViews>
  <sheetFormatPr defaultColWidth="8.81640625" defaultRowHeight="15.5" x14ac:dyDescent="0.35"/>
  <cols>
    <col min="1" max="1" width="11.81640625" style="11" bestFit="1" customWidth="1"/>
    <col min="2" max="11" width="9.1796875" style="11" bestFit="1" customWidth="1"/>
    <col min="13" max="13" width="19.6328125" bestFit="1" customWidth="1"/>
    <col min="14" max="14" width="15.6328125" customWidth="1"/>
    <col min="15" max="15" width="19" customWidth="1"/>
    <col min="16" max="16" width="15.36328125" bestFit="1" customWidth="1"/>
    <col min="17" max="17" width="17.81640625" customWidth="1"/>
    <col min="18" max="18" width="14.81640625" bestFit="1" customWidth="1"/>
    <col min="19" max="20" width="13.1796875" customWidth="1"/>
    <col min="21" max="21" width="13.36328125" customWidth="1"/>
    <col min="22" max="24" width="14.81640625" bestFit="1" customWidth="1"/>
    <col min="25" max="25" width="16" customWidth="1"/>
    <col min="26" max="26" width="24.1796875" bestFit="1" customWidth="1"/>
    <col min="27" max="27" width="13.81640625" customWidth="1"/>
    <col min="33" max="33" width="15.1796875" customWidth="1"/>
    <col min="34" max="34" width="9.6328125" bestFit="1" customWidth="1"/>
  </cols>
  <sheetData>
    <row r="1" spans="1:37" ht="19" thickBot="1" x14ac:dyDescent="0.5">
      <c r="A1" s="82" t="s">
        <v>16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37" ht="17.5" thickBot="1" x14ac:dyDescent="0.4">
      <c r="A2" s="74" t="s">
        <v>0</v>
      </c>
      <c r="B2" s="73" t="s">
        <v>10</v>
      </c>
      <c r="C2" s="73"/>
      <c r="D2" s="73"/>
      <c r="E2" s="73"/>
      <c r="F2" s="73"/>
      <c r="G2" s="73" t="s">
        <v>9</v>
      </c>
      <c r="H2" s="73"/>
      <c r="I2" s="73"/>
      <c r="J2" s="73"/>
      <c r="K2" s="73"/>
      <c r="L2" s="1"/>
      <c r="M2" s="86" t="s">
        <v>22</v>
      </c>
      <c r="N2" s="87"/>
      <c r="O2" s="87"/>
      <c r="P2" s="87"/>
      <c r="Q2" s="87"/>
      <c r="R2" s="88"/>
      <c r="S2" s="76" t="s">
        <v>23</v>
      </c>
      <c r="T2" s="77"/>
      <c r="U2" s="77"/>
      <c r="V2" s="77"/>
      <c r="W2" s="77"/>
      <c r="X2" s="78"/>
      <c r="Y2" s="18"/>
      <c r="Z2" s="86" t="s">
        <v>26</v>
      </c>
      <c r="AA2" s="88"/>
      <c r="AB2" s="18"/>
      <c r="AC2" s="18"/>
      <c r="AD2" s="18"/>
    </row>
    <row r="3" spans="1:37" ht="17.5" thickBot="1" x14ac:dyDescent="0.4">
      <c r="A3" s="75"/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11</v>
      </c>
      <c r="H3" s="13" t="s">
        <v>12</v>
      </c>
      <c r="I3" s="13" t="s">
        <v>13</v>
      </c>
      <c r="J3" s="13" t="s">
        <v>14</v>
      </c>
      <c r="K3" s="13" t="s">
        <v>15</v>
      </c>
      <c r="L3" s="1"/>
      <c r="M3" s="49"/>
      <c r="N3" s="15" t="s">
        <v>1</v>
      </c>
      <c r="O3" s="15" t="s">
        <v>2</v>
      </c>
      <c r="P3" s="15" t="s">
        <v>20</v>
      </c>
      <c r="Q3" s="15" t="s">
        <v>21</v>
      </c>
      <c r="R3" s="34" t="s">
        <v>5</v>
      </c>
      <c r="S3" s="79"/>
      <c r="T3" s="80"/>
      <c r="U3" s="80"/>
      <c r="V3" s="80"/>
      <c r="W3" s="80"/>
      <c r="X3" s="81"/>
      <c r="Y3" s="18"/>
      <c r="Z3" s="3" t="s">
        <v>19</v>
      </c>
      <c r="AA3" s="28"/>
      <c r="AB3" s="18"/>
      <c r="AC3" s="18"/>
      <c r="AD3" s="18"/>
      <c r="AK3" s="17"/>
    </row>
    <row r="4" spans="1:37" x14ac:dyDescent="0.35">
      <c r="A4" s="12">
        <v>44993</v>
      </c>
      <c r="B4" s="20">
        <v>30300</v>
      </c>
      <c r="C4" s="20">
        <v>49800</v>
      </c>
      <c r="D4" s="20">
        <v>37600</v>
      </c>
      <c r="E4" s="20">
        <v>47600</v>
      </c>
      <c r="F4" s="20">
        <v>69500</v>
      </c>
      <c r="G4" s="14">
        <f>B4/B5-1</f>
        <v>3.0612244897959107E-2</v>
      </c>
      <c r="H4" s="14">
        <f t="shared" ref="H4:K19" si="0">C4/C5-1</f>
        <v>1.6326530612244872E-2</v>
      </c>
      <c r="I4" s="14">
        <f t="shared" si="0"/>
        <v>9.3023255813953432E-2</v>
      </c>
      <c r="J4" s="14">
        <f t="shared" si="0"/>
        <v>1.8181818181818077E-2</v>
      </c>
      <c r="K4" s="14">
        <f t="shared" si="0"/>
        <v>2.8106508875739733E-2</v>
      </c>
      <c r="L4" s="1"/>
      <c r="M4" s="33" t="s">
        <v>11</v>
      </c>
      <c r="N4" s="36">
        <f>AVERAGE(G4:G455)</f>
        <v>1.652301561065542E-3</v>
      </c>
      <c r="O4" s="26">
        <v>0.2</v>
      </c>
      <c r="P4" s="37">
        <f>_xlfn.VAR.S(G4:G456)</f>
        <v>1.0938749246029846E-3</v>
      </c>
      <c r="Q4" s="38">
        <f>SQRT(P4)</f>
        <v>3.307378001684997E-2</v>
      </c>
      <c r="R4" s="39">
        <f>O4*N4</f>
        <v>3.3046031221310842E-4</v>
      </c>
      <c r="S4" s="50"/>
      <c r="T4" s="51" t="s">
        <v>11</v>
      </c>
      <c r="U4" s="51" t="s">
        <v>12</v>
      </c>
      <c r="V4" s="51" t="s">
        <v>13</v>
      </c>
      <c r="W4" s="51" t="s">
        <v>14</v>
      </c>
      <c r="X4" s="52" t="s">
        <v>15</v>
      </c>
      <c r="Y4" s="15"/>
      <c r="Z4" s="3" t="s">
        <v>3</v>
      </c>
      <c r="AA4" s="28"/>
      <c r="AB4" s="15"/>
      <c r="AC4" s="15"/>
      <c r="AD4" s="15"/>
    </row>
    <row r="5" spans="1:37" x14ac:dyDescent="0.35">
      <c r="A5" s="12">
        <v>44992</v>
      </c>
      <c r="B5" s="20">
        <v>29400</v>
      </c>
      <c r="C5" s="20">
        <v>49000</v>
      </c>
      <c r="D5" s="20">
        <v>34400</v>
      </c>
      <c r="E5" s="20">
        <v>46750</v>
      </c>
      <c r="F5" s="20">
        <v>67600</v>
      </c>
      <c r="G5" s="14">
        <f t="shared" ref="G5:K67" si="1">B5/B6-1</f>
        <v>-2.9702970297029729E-2</v>
      </c>
      <c r="H5" s="14">
        <f t="shared" si="0"/>
        <v>-1.1099899091826404E-2</v>
      </c>
      <c r="I5" s="14">
        <f t="shared" si="0"/>
        <v>3.92749244712991E-2</v>
      </c>
      <c r="J5" s="14">
        <f t="shared" si="0"/>
        <v>-2.604166666666663E-2</v>
      </c>
      <c r="K5" s="14">
        <f t="shared" si="0"/>
        <v>-1.744186046511631E-2</v>
      </c>
      <c r="L5" s="1"/>
      <c r="M5" s="33" t="s">
        <v>12</v>
      </c>
      <c r="N5" s="36">
        <f>AVERAGE(H4:H455)</f>
        <v>1.7525797634170093E-3</v>
      </c>
      <c r="O5" s="26">
        <v>0.2</v>
      </c>
      <c r="P5" s="37">
        <f>_xlfn.VAR.S(H4:H456)</f>
        <v>6.2029231838764095E-4</v>
      </c>
      <c r="Q5" s="38">
        <f t="shared" ref="Q5:Q6" si="2">SQRT(P5)</f>
        <v>2.4905668398732865E-2</v>
      </c>
      <c r="R5" s="39">
        <f>O5*N5</f>
        <v>3.5051595268340187E-4</v>
      </c>
      <c r="S5" s="45" t="s">
        <v>11</v>
      </c>
      <c r="T5" s="29">
        <f>_xlfn.VAR.S(Shortcut!$G$4:$G$455)</f>
        <v>1.0938749246029846E-3</v>
      </c>
      <c r="U5" s="22">
        <f>T6</f>
        <v>4.0253244724493199E-4</v>
      </c>
      <c r="V5" s="22">
        <f>T7</f>
        <v>5.4749132963705864E-4</v>
      </c>
      <c r="W5" s="22">
        <f>T8</f>
        <v>1.6169279274742788E-4</v>
      </c>
      <c r="X5" s="46">
        <f>T9</f>
        <v>2.932471774427577E-4</v>
      </c>
      <c r="Y5" s="15"/>
      <c r="Z5" s="3" t="s">
        <v>33</v>
      </c>
      <c r="AA5" s="28"/>
      <c r="AB5" s="16"/>
      <c r="AC5" s="16"/>
      <c r="AD5" s="16"/>
    </row>
    <row r="6" spans="1:37" ht="16" thickBot="1" x14ac:dyDescent="0.4">
      <c r="A6" s="12">
        <v>44991</v>
      </c>
      <c r="B6" s="20">
        <v>30300</v>
      </c>
      <c r="C6" s="20">
        <v>49550</v>
      </c>
      <c r="D6" s="20">
        <v>33100</v>
      </c>
      <c r="E6" s="20">
        <v>48000</v>
      </c>
      <c r="F6" s="20">
        <v>68800</v>
      </c>
      <c r="G6" s="14">
        <f t="shared" si="1"/>
        <v>6.6445182724252927E-3</v>
      </c>
      <c r="H6" s="14">
        <f t="shared" si="0"/>
        <v>3.0364372469635637E-3</v>
      </c>
      <c r="I6" s="14">
        <f t="shared" si="0"/>
        <v>-6.0060060060059817E-3</v>
      </c>
      <c r="J6" s="14">
        <f t="shared" si="0"/>
        <v>-1.6393442622950838E-2</v>
      </c>
      <c r="K6" s="14">
        <f t="shared" si="0"/>
        <v>-1.7142857142857126E-2</v>
      </c>
      <c r="L6" s="1"/>
      <c r="M6" s="33" t="s">
        <v>13</v>
      </c>
      <c r="N6" s="36">
        <f>AVERAGE(I4:I455)</f>
        <v>3.4928059352298175E-3</v>
      </c>
      <c r="O6" s="26">
        <v>0.2</v>
      </c>
      <c r="P6" s="37">
        <f>_xlfn.VAR.S(I4:I456)</f>
        <v>1.1235409040893094E-3</v>
      </c>
      <c r="Q6" s="38">
        <f t="shared" si="2"/>
        <v>3.3519261687711882E-2</v>
      </c>
      <c r="R6" s="39">
        <f>O6*N6</f>
        <v>6.9856118704596357E-4</v>
      </c>
      <c r="S6" s="45" t="s">
        <v>12</v>
      </c>
      <c r="T6" s="23">
        <f>_xlfn.COVARIANCE.S(G4:G455,H4:H455)</f>
        <v>4.0253244724493199E-4</v>
      </c>
      <c r="U6" s="29">
        <f>_xlfn.VAR.S(Shortcut!$H$4:$H$455)</f>
        <v>6.2029231838764095E-4</v>
      </c>
      <c r="V6" s="22">
        <f>U7</f>
        <v>2.985841048855942E-4</v>
      </c>
      <c r="W6" s="22">
        <f>U8</f>
        <v>1.1782043873541298E-4</v>
      </c>
      <c r="X6" s="46">
        <f>U9</f>
        <v>2.5112444568893783E-4</v>
      </c>
      <c r="Y6" s="15"/>
      <c r="Z6" s="5" t="s">
        <v>6</v>
      </c>
      <c r="AA6" s="31"/>
      <c r="AB6" s="16"/>
      <c r="AC6" s="16"/>
      <c r="AD6" s="16"/>
    </row>
    <row r="7" spans="1:37" x14ac:dyDescent="0.35">
      <c r="A7" s="12">
        <v>44988</v>
      </c>
      <c r="B7" s="20">
        <v>30100</v>
      </c>
      <c r="C7" s="20">
        <v>49400</v>
      </c>
      <c r="D7" s="20">
        <v>33300</v>
      </c>
      <c r="E7" s="20">
        <v>48800</v>
      </c>
      <c r="F7" s="20">
        <v>70000</v>
      </c>
      <c r="G7" s="14">
        <f t="shared" si="1"/>
        <v>-1.3114754098360604E-2</v>
      </c>
      <c r="H7" s="14">
        <f t="shared" si="0"/>
        <v>-1.2000000000000011E-2</v>
      </c>
      <c r="I7" s="14">
        <f t="shared" si="0"/>
        <v>1.5243902439024293E-2</v>
      </c>
      <c r="J7" s="14">
        <f t="shared" si="0"/>
        <v>4.115226337448652E-3</v>
      </c>
      <c r="K7" s="14">
        <f t="shared" si="0"/>
        <v>1.4306151645206988E-3</v>
      </c>
      <c r="L7" s="1"/>
      <c r="M7" s="33" t="s">
        <v>14</v>
      </c>
      <c r="N7" s="36"/>
      <c r="O7" s="26">
        <v>0.2</v>
      </c>
      <c r="P7" s="37"/>
      <c r="Q7" s="38"/>
      <c r="R7" s="39"/>
      <c r="S7" s="45" t="s">
        <v>13</v>
      </c>
      <c r="T7" s="23">
        <f>_xlfn.COVARIANCE.S(G4:G455,I4:I455)</f>
        <v>5.4749132963705864E-4</v>
      </c>
      <c r="U7" s="23">
        <f>_xlfn.COVARIANCE.S(I4:I455,H4:H455)</f>
        <v>2.985841048855942E-4</v>
      </c>
      <c r="V7" s="29">
        <f>_xlfn.VAR.S(Shortcut!$I$4:$I$455)</f>
        <v>1.1235409040893094E-3</v>
      </c>
      <c r="W7" s="22">
        <f>V8</f>
        <v>9.8580880146698451E-5</v>
      </c>
      <c r="X7" s="46">
        <f>V9</f>
        <v>2.2364526749506008E-4</v>
      </c>
      <c r="Y7" s="15"/>
      <c r="Z7" s="16"/>
      <c r="AA7" s="16"/>
      <c r="AB7" s="16"/>
      <c r="AC7" s="16"/>
      <c r="AD7" s="16"/>
    </row>
    <row r="8" spans="1:37" x14ac:dyDescent="0.35">
      <c r="A8" s="12">
        <v>44987</v>
      </c>
      <c r="B8" s="20">
        <v>30500</v>
      </c>
      <c r="C8" s="20">
        <v>50000</v>
      </c>
      <c r="D8" s="20">
        <v>32800</v>
      </c>
      <c r="E8" s="20">
        <v>48600</v>
      </c>
      <c r="F8" s="20">
        <v>69900</v>
      </c>
      <c r="G8" s="14">
        <f t="shared" si="1"/>
        <v>6.2717770034843134E-2</v>
      </c>
      <c r="H8" s="14">
        <f t="shared" si="0"/>
        <v>1.2145748987854255E-2</v>
      </c>
      <c r="I8" s="14">
        <f t="shared" si="0"/>
        <v>2.1806853582554409E-2</v>
      </c>
      <c r="J8" s="14">
        <f t="shared" si="0"/>
        <v>1.2499999999999956E-2</v>
      </c>
      <c r="K8" s="14">
        <f t="shared" si="0"/>
        <v>4.0178571428571397E-2</v>
      </c>
      <c r="L8" s="1"/>
      <c r="M8" s="33" t="s">
        <v>15</v>
      </c>
      <c r="N8" s="36"/>
      <c r="O8" s="26">
        <v>0.2</v>
      </c>
      <c r="P8" s="37"/>
      <c r="Q8" s="38"/>
      <c r="R8" s="39"/>
      <c r="S8" s="45" t="s">
        <v>14</v>
      </c>
      <c r="T8" s="23">
        <f>_xlfn.COVARIANCE.S(G4:G455,J4:J455)</f>
        <v>1.6169279274742788E-4</v>
      </c>
      <c r="U8" s="23">
        <f>_xlfn.COVARIANCE.S(J4:J455,H4:H455)</f>
        <v>1.1782043873541298E-4</v>
      </c>
      <c r="V8" s="23">
        <f>_xlfn.COVARIANCE.S(I4:I455,J4:J455)</f>
        <v>9.8580880146698451E-5</v>
      </c>
      <c r="W8" s="30"/>
      <c r="X8" s="46"/>
      <c r="Y8" s="15"/>
      <c r="Z8" s="16"/>
      <c r="AA8" s="16"/>
      <c r="AB8" s="16"/>
      <c r="AC8" s="16"/>
      <c r="AD8" s="16"/>
    </row>
    <row r="9" spans="1:37" ht="16" thickBot="1" x14ac:dyDescent="0.4">
      <c r="A9" s="12">
        <v>44986</v>
      </c>
      <c r="B9" s="20">
        <v>28700</v>
      </c>
      <c r="C9" s="20">
        <v>49400</v>
      </c>
      <c r="D9" s="20">
        <v>32100</v>
      </c>
      <c r="E9" s="20">
        <v>48000</v>
      </c>
      <c r="F9" s="20">
        <v>67200</v>
      </c>
      <c r="G9" s="14">
        <f t="shared" si="1"/>
        <v>-1.0344827586206917E-2</v>
      </c>
      <c r="H9" s="14">
        <f t="shared" si="0"/>
        <v>4.2194092827004148E-2</v>
      </c>
      <c r="I9" s="14">
        <f t="shared" si="0"/>
        <v>-9.2592592592593004E-3</v>
      </c>
      <c r="J9" s="14">
        <f t="shared" si="0"/>
        <v>-1.0309278350515427E-2</v>
      </c>
      <c r="K9" s="14">
        <f t="shared" si="0"/>
        <v>2.9850746268655914E-3</v>
      </c>
      <c r="L9" s="1"/>
      <c r="M9" s="40" t="s">
        <v>17</v>
      </c>
      <c r="N9" s="41"/>
      <c r="O9" s="42">
        <f>SUM(O4:O8)</f>
        <v>1</v>
      </c>
      <c r="P9" s="43"/>
      <c r="Q9" s="43"/>
      <c r="R9" s="44">
        <f>SUM(R4:R8)</f>
        <v>1.379537451942474E-3</v>
      </c>
      <c r="S9" s="47" t="s">
        <v>15</v>
      </c>
      <c r="T9" s="24">
        <f>_xlfn.COVARIANCE.S(G4:G455,K4:K455)</f>
        <v>2.932471774427577E-4</v>
      </c>
      <c r="U9" s="24">
        <f>_xlfn.COVARIANCE.S(K4:K455,H4:H455)</f>
        <v>2.5112444568893783E-4</v>
      </c>
      <c r="V9" s="24">
        <f>_xlfn.COVARIANCE.S(I4:I455,K4:K455)</f>
        <v>2.2364526749506008E-4</v>
      </c>
      <c r="W9" s="24"/>
      <c r="X9" s="48"/>
      <c r="Y9" s="15"/>
      <c r="Z9" s="16"/>
      <c r="AA9" s="16"/>
      <c r="AB9" s="16"/>
      <c r="AC9" s="16"/>
      <c r="AD9" s="16"/>
    </row>
    <row r="10" spans="1:37" ht="16" thickBot="1" x14ac:dyDescent="0.4">
      <c r="A10" s="12">
        <v>44985</v>
      </c>
      <c r="B10" s="20">
        <v>29000</v>
      </c>
      <c r="C10" s="20">
        <v>47400</v>
      </c>
      <c r="D10" s="20">
        <v>32400</v>
      </c>
      <c r="E10" s="20">
        <v>48500</v>
      </c>
      <c r="F10" s="20">
        <v>67000</v>
      </c>
      <c r="G10" s="14">
        <f t="shared" si="1"/>
        <v>1.3986013986013957E-2</v>
      </c>
      <c r="H10" s="14">
        <f t="shared" si="0"/>
        <v>-4.723618090452264E-2</v>
      </c>
      <c r="I10" s="14">
        <f t="shared" si="0"/>
        <v>2.208201892744488E-2</v>
      </c>
      <c r="J10" s="14">
        <f t="shared" si="0"/>
        <v>4.1407867494824835E-3</v>
      </c>
      <c r="K10" s="14">
        <f t="shared" si="0"/>
        <v>-5.9347181008901906E-3</v>
      </c>
      <c r="L10" s="1"/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37" ht="16" thickBot="1" x14ac:dyDescent="0.4">
      <c r="A11" s="12">
        <v>44984</v>
      </c>
      <c r="B11" s="20">
        <v>28600</v>
      </c>
      <c r="C11" s="20">
        <v>49750</v>
      </c>
      <c r="D11" s="20">
        <v>31700</v>
      </c>
      <c r="E11" s="20">
        <v>48300</v>
      </c>
      <c r="F11" s="20">
        <v>67400</v>
      </c>
      <c r="G11" s="14">
        <f t="shared" si="1"/>
        <v>3.5087719298245723E-3</v>
      </c>
      <c r="H11" s="14">
        <f t="shared" si="0"/>
        <v>7.0850202429149078E-3</v>
      </c>
      <c r="I11" s="14">
        <f t="shared" si="0"/>
        <v>-2.1604938271604923E-2</v>
      </c>
      <c r="J11" s="14">
        <f t="shared" si="0"/>
        <v>5.921052631578938E-2</v>
      </c>
      <c r="K11" s="14">
        <f t="shared" si="0"/>
        <v>-1.027900146842875E-2</v>
      </c>
      <c r="L11" s="1"/>
      <c r="M11" s="86" t="s">
        <v>27</v>
      </c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8"/>
      <c r="Z11" s="1"/>
      <c r="AA11" s="1"/>
    </row>
    <row r="12" spans="1:37" x14ac:dyDescent="0.35">
      <c r="A12" s="12">
        <v>44981</v>
      </c>
      <c r="B12" s="20">
        <v>28500</v>
      </c>
      <c r="C12" s="20">
        <v>49400</v>
      </c>
      <c r="D12" s="20">
        <v>32400</v>
      </c>
      <c r="E12" s="20">
        <v>45600</v>
      </c>
      <c r="F12" s="20">
        <v>68100</v>
      </c>
      <c r="G12" s="14">
        <f t="shared" si="1"/>
        <v>-1.041666666666663E-2</v>
      </c>
      <c r="H12" s="14">
        <f t="shared" si="0"/>
        <v>-2.0202020202020332E-3</v>
      </c>
      <c r="I12" s="14">
        <f t="shared" si="0"/>
        <v>-1.8181818181818188E-2</v>
      </c>
      <c r="J12" s="14">
        <f t="shared" si="0"/>
        <v>1.4460511679644128E-2</v>
      </c>
      <c r="K12" s="14">
        <f t="shared" si="0"/>
        <v>-5.839416058394109E-3</v>
      </c>
      <c r="L12" s="1"/>
      <c r="M12" s="2" t="s">
        <v>11</v>
      </c>
      <c r="N12" s="25">
        <v>8.0434977300965188E-2</v>
      </c>
      <c r="O12" s="21">
        <v>2.9048754950290724E-2</v>
      </c>
      <c r="P12" s="25">
        <v>-2.2331439818943741E-2</v>
      </c>
      <c r="Q12" s="25">
        <v>-7.371158913499383E-2</v>
      </c>
      <c r="R12" s="25">
        <v>-0.12509168537376322</v>
      </c>
      <c r="S12" s="25">
        <v>-0.17647180327295772</v>
      </c>
      <c r="T12" s="25">
        <v>-0.22785193989897798</v>
      </c>
      <c r="U12" s="25">
        <v>-0.27923208698814067</v>
      </c>
      <c r="V12" s="21">
        <v>-0.33061224549765728</v>
      </c>
      <c r="W12" s="25">
        <v>-0.38199240067042883</v>
      </c>
      <c r="X12" s="25"/>
      <c r="Y12" s="26"/>
    </row>
    <row r="13" spans="1:37" x14ac:dyDescent="0.35">
      <c r="A13" s="12">
        <v>44980</v>
      </c>
      <c r="B13" s="20">
        <v>28800</v>
      </c>
      <c r="C13" s="20">
        <v>49500</v>
      </c>
      <c r="D13" s="20">
        <v>33000</v>
      </c>
      <c r="E13" s="20">
        <v>44950</v>
      </c>
      <c r="F13" s="20">
        <v>68500</v>
      </c>
      <c r="G13" s="14">
        <f t="shared" si="1"/>
        <v>-1.3698630136986356E-2</v>
      </c>
      <c r="H13" s="14">
        <f t="shared" si="0"/>
        <v>-1.19760479041916E-2</v>
      </c>
      <c r="I13" s="14">
        <f t="shared" si="0"/>
        <v>-2.3668639053254448E-2</v>
      </c>
      <c r="J13" s="14">
        <f t="shared" si="0"/>
        <v>-1.2087912087912045E-2</v>
      </c>
      <c r="K13" s="14">
        <f t="shared" si="0"/>
        <v>3.1626506024096335E-2</v>
      </c>
      <c r="L13" s="1"/>
      <c r="M13" s="2" t="s">
        <v>12</v>
      </c>
      <c r="N13" s="25">
        <v>0.20450929435844128</v>
      </c>
      <c r="O13" s="21">
        <v>0.17576502634590155</v>
      </c>
      <c r="P13" s="25">
        <v>0.14700800127784636</v>
      </c>
      <c r="Q13" s="25">
        <v>0.11825097979398157</v>
      </c>
      <c r="R13" s="25">
        <v>8.9493917775065115E-2</v>
      </c>
      <c r="S13" s="25">
        <v>6.0736864110046709E-2</v>
      </c>
      <c r="T13" s="25">
        <v>3.1979843282994684E-2</v>
      </c>
      <c r="U13" s="25">
        <v>3.2228315953911537E-3</v>
      </c>
      <c r="V13" s="21">
        <v>-2.5534221955291796E-2</v>
      </c>
      <c r="W13" s="25">
        <v>-5.4291264113173497E-2</v>
      </c>
      <c r="X13" s="25"/>
      <c r="Y13" s="26"/>
    </row>
    <row r="14" spans="1:37" x14ac:dyDescent="0.35">
      <c r="A14" s="12">
        <v>44979</v>
      </c>
      <c r="B14" s="20">
        <v>29200</v>
      </c>
      <c r="C14" s="20">
        <v>50100</v>
      </c>
      <c r="D14" s="20">
        <v>33800</v>
      </c>
      <c r="E14" s="20">
        <v>45500</v>
      </c>
      <c r="F14" s="20">
        <v>66400</v>
      </c>
      <c r="G14" s="14">
        <f t="shared" si="1"/>
        <v>-1.016949152542368E-2</v>
      </c>
      <c r="H14" s="14">
        <f t="shared" si="0"/>
        <v>-1.1834319526627168E-2</v>
      </c>
      <c r="I14" s="14">
        <f t="shared" si="0"/>
        <v>-2.5936599423631135E-2</v>
      </c>
      <c r="J14" s="14">
        <f t="shared" si="0"/>
        <v>-5.464480874316946E-3</v>
      </c>
      <c r="K14" s="14">
        <f t="shared" si="0"/>
        <v>2.6275115919629055E-2</v>
      </c>
      <c r="L14" s="1"/>
      <c r="M14" s="2" t="s">
        <v>13</v>
      </c>
      <c r="N14" s="25">
        <v>-0.15334560291327964</v>
      </c>
      <c r="O14" s="21">
        <v>-5.0873822014241794E-2</v>
      </c>
      <c r="P14" s="25">
        <v>5.1598221081837731E-2</v>
      </c>
      <c r="Q14" s="25">
        <v>0.15407027466962117</v>
      </c>
      <c r="R14" s="25">
        <v>0.25654234436824785</v>
      </c>
      <c r="S14" s="25">
        <v>0.35901441586400701</v>
      </c>
      <c r="T14" s="25">
        <v>0.46148647273818111</v>
      </c>
      <c r="U14" s="25">
        <v>0.56395852472258545</v>
      </c>
      <c r="V14" s="21">
        <v>0.66643057922150106</v>
      </c>
      <c r="W14" s="25">
        <v>0.76890263204969911</v>
      </c>
      <c r="X14" s="25"/>
      <c r="Y14" s="26"/>
    </row>
    <row r="15" spans="1:37" x14ac:dyDescent="0.35">
      <c r="A15" s="12">
        <v>44978</v>
      </c>
      <c r="B15" s="20">
        <v>29500</v>
      </c>
      <c r="C15" s="20">
        <v>50700</v>
      </c>
      <c r="D15" s="20">
        <v>34700</v>
      </c>
      <c r="E15" s="20">
        <v>45750</v>
      </c>
      <c r="F15" s="20">
        <v>64700</v>
      </c>
      <c r="G15" s="14">
        <f t="shared" si="1"/>
        <v>2.7874564459930307E-2</v>
      </c>
      <c r="H15" s="14">
        <f t="shared" si="0"/>
        <v>5.9523809523809312E-3</v>
      </c>
      <c r="I15" s="14">
        <f t="shared" si="0"/>
        <v>2.0588235294117574E-2</v>
      </c>
      <c r="J15" s="14">
        <f t="shared" si="0"/>
        <v>1.3289036544850585E-2</v>
      </c>
      <c r="K15" s="14">
        <f t="shared" si="0"/>
        <v>-3.7202380952380931E-2</v>
      </c>
      <c r="L15" s="1"/>
      <c r="M15" s="2" t="s">
        <v>14</v>
      </c>
      <c r="N15" s="25">
        <v>1.037000841629298</v>
      </c>
      <c r="O15" s="21">
        <v>0.89467702725903675</v>
      </c>
      <c r="P15" s="25">
        <v>0.75235805963870783</v>
      </c>
      <c r="Q15" s="25">
        <v>0.61003904930049591</v>
      </c>
      <c r="R15" s="25">
        <v>0.46772003391454214</v>
      </c>
      <c r="S15" s="25">
        <v>0.32540102188315251</v>
      </c>
      <c r="T15" s="25">
        <v>0.18308200822945017</v>
      </c>
      <c r="U15" s="25">
        <v>4.0762988908319461E-2</v>
      </c>
      <c r="V15" s="21">
        <v>-0.10155598660618956</v>
      </c>
      <c r="W15" s="25">
        <v>-0.24387497316651258</v>
      </c>
      <c r="X15" s="25"/>
      <c r="Y15" s="26"/>
    </row>
    <row r="16" spans="1:37" x14ac:dyDescent="0.35">
      <c r="A16" s="12">
        <v>44977</v>
      </c>
      <c r="B16" s="20">
        <v>28700</v>
      </c>
      <c r="C16" s="20">
        <v>50400</v>
      </c>
      <c r="D16" s="20">
        <v>34000</v>
      </c>
      <c r="E16" s="20">
        <v>45150</v>
      </c>
      <c r="F16" s="20">
        <v>67200</v>
      </c>
      <c r="G16" s="14">
        <f t="shared" si="1"/>
        <v>0</v>
      </c>
      <c r="H16" s="14">
        <f t="shared" si="0"/>
        <v>1.5105740181268867E-2</v>
      </c>
      <c r="I16" s="14">
        <f t="shared" si="0"/>
        <v>3.0303030303030276E-2</v>
      </c>
      <c r="J16" s="14">
        <f t="shared" si="0"/>
        <v>2.6136363636363624E-2</v>
      </c>
      <c r="K16" s="14">
        <f t="shared" si="0"/>
        <v>-1.1764705882352899E-2</v>
      </c>
      <c r="L16" s="1"/>
      <c r="M16" s="2" t="s">
        <v>15</v>
      </c>
      <c r="N16" s="25">
        <v>-0.16859951037542475</v>
      </c>
      <c r="O16" s="21">
        <v>-4.8616986540987249E-2</v>
      </c>
      <c r="P16" s="25">
        <v>7.1367157820551946E-2</v>
      </c>
      <c r="Q16" s="25">
        <v>0.19135128537089516</v>
      </c>
      <c r="R16" s="25">
        <v>0.31133538931590798</v>
      </c>
      <c r="S16" s="25">
        <v>0.4313195014157517</v>
      </c>
      <c r="T16" s="25">
        <v>0.55130361564835206</v>
      </c>
      <c r="U16" s="25">
        <v>0.67128774176184447</v>
      </c>
      <c r="V16" s="21">
        <v>0.7912718748376375</v>
      </c>
      <c r="W16" s="25">
        <v>0.911256005900416</v>
      </c>
      <c r="X16" s="25"/>
      <c r="Y16" s="26"/>
    </row>
    <row r="17" spans="1:27" x14ac:dyDescent="0.35">
      <c r="A17" s="12">
        <v>44974</v>
      </c>
      <c r="B17" s="20">
        <v>28700</v>
      </c>
      <c r="C17" s="20">
        <v>49650</v>
      </c>
      <c r="D17" s="20">
        <v>33000</v>
      </c>
      <c r="E17" s="20">
        <v>44000</v>
      </c>
      <c r="F17" s="20">
        <v>68000</v>
      </c>
      <c r="G17" s="14">
        <f t="shared" si="1"/>
        <v>-3.4722222222222099E-3</v>
      </c>
      <c r="H17" s="14">
        <f t="shared" si="0"/>
        <v>-7.0000000000000062E-3</v>
      </c>
      <c r="I17" s="14">
        <f t="shared" si="0"/>
        <v>1.2269938650306678E-2</v>
      </c>
      <c r="J17" s="14">
        <f t="shared" si="0"/>
        <v>2.564102564102555E-2</v>
      </c>
      <c r="K17" s="14">
        <f t="shared" si="0"/>
        <v>0</v>
      </c>
      <c r="L17" s="1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53"/>
    </row>
    <row r="18" spans="1:27" x14ac:dyDescent="0.35">
      <c r="A18" s="12">
        <v>44973</v>
      </c>
      <c r="B18" s="20">
        <v>28800</v>
      </c>
      <c r="C18" s="20">
        <v>50000</v>
      </c>
      <c r="D18" s="20">
        <v>32600</v>
      </c>
      <c r="E18" s="20">
        <v>42900</v>
      </c>
      <c r="F18" s="20">
        <v>68000</v>
      </c>
      <c r="G18" s="14">
        <f t="shared" si="1"/>
        <v>-1.3698630136986356E-2</v>
      </c>
      <c r="H18" s="14">
        <f t="shared" si="0"/>
        <v>-9.9009900990099098E-3</v>
      </c>
      <c r="I18" s="14">
        <f t="shared" si="0"/>
        <v>-6.0975609756097615E-3</v>
      </c>
      <c r="J18" s="14">
        <f t="shared" si="0"/>
        <v>-5.7937427578215184E-3</v>
      </c>
      <c r="K18" s="14">
        <f t="shared" si="0"/>
        <v>7.4074074074073071E-3</v>
      </c>
      <c r="L18" s="1"/>
      <c r="M18" s="2" t="s">
        <v>19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28"/>
    </row>
    <row r="19" spans="1:27" x14ac:dyDescent="0.35">
      <c r="A19" s="12">
        <v>44972</v>
      </c>
      <c r="B19" s="20">
        <v>29200</v>
      </c>
      <c r="C19" s="20">
        <v>50500</v>
      </c>
      <c r="D19" s="20">
        <v>32800</v>
      </c>
      <c r="E19" s="20">
        <v>43150</v>
      </c>
      <c r="F19" s="20">
        <v>67500</v>
      </c>
      <c r="G19" s="14">
        <f t="shared" si="1"/>
        <v>2.4561403508772006E-2</v>
      </c>
      <c r="H19" s="14">
        <f t="shared" si="0"/>
        <v>5.9760956175298752E-3</v>
      </c>
      <c r="I19" s="14">
        <f t="shared" si="0"/>
        <v>-6.0606060606060996E-3</v>
      </c>
      <c r="J19" s="14">
        <f t="shared" si="0"/>
        <v>-6.9044879171461515E-3</v>
      </c>
      <c r="K19" s="14">
        <f t="shared" si="0"/>
        <v>-8.8105726872246271E-3</v>
      </c>
      <c r="L19" s="1"/>
      <c r="M19" s="2" t="s">
        <v>3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5"/>
    </row>
    <row r="20" spans="1:27" x14ac:dyDescent="0.35">
      <c r="A20" s="12">
        <v>44971</v>
      </c>
      <c r="B20" s="20">
        <v>28500</v>
      </c>
      <c r="C20" s="20">
        <v>50200</v>
      </c>
      <c r="D20" s="20">
        <v>33000</v>
      </c>
      <c r="E20" s="20">
        <v>43450</v>
      </c>
      <c r="F20" s="20">
        <v>68100</v>
      </c>
      <c r="G20" s="14">
        <f t="shared" si="1"/>
        <v>3.5211267605634866E-3</v>
      </c>
      <c r="H20" s="14">
        <f t="shared" si="1"/>
        <v>-1.3752455795677854E-2</v>
      </c>
      <c r="I20" s="14">
        <f t="shared" si="1"/>
        <v>-6.0240963855421326E-3</v>
      </c>
      <c r="J20" s="14">
        <f t="shared" si="1"/>
        <v>-6.857142857142895E-3</v>
      </c>
      <c r="K20" s="14">
        <f t="shared" si="1"/>
        <v>-2.0143884892086295E-2</v>
      </c>
      <c r="L20" s="1"/>
      <c r="M20" s="2" t="s">
        <v>32</v>
      </c>
      <c r="N20" s="56">
        <v>5.0000000000000001E-4</v>
      </c>
      <c r="O20" s="56">
        <v>1E-3</v>
      </c>
      <c r="P20" s="56">
        <v>1.5E-3</v>
      </c>
      <c r="Q20" s="56">
        <v>2E-3</v>
      </c>
      <c r="R20" s="56">
        <v>2.5000000000000001E-3</v>
      </c>
      <c r="S20" s="56">
        <v>3.0000000000000001E-3</v>
      </c>
      <c r="T20" s="56">
        <v>3.5000000000000001E-3</v>
      </c>
      <c r="U20" s="56">
        <v>4.0000000000000001E-3</v>
      </c>
      <c r="V20" s="56">
        <v>4.4999999999999997E-3</v>
      </c>
      <c r="W20" s="56">
        <v>5.0000000000000001E-3</v>
      </c>
      <c r="X20" s="56">
        <v>5.4999999999999997E-3</v>
      </c>
      <c r="Y20" s="57">
        <v>6.0000000000000001E-3</v>
      </c>
    </row>
    <row r="21" spans="1:27" ht="16" thickBot="1" x14ac:dyDescent="0.4">
      <c r="A21" s="12">
        <v>44970</v>
      </c>
      <c r="B21" s="20">
        <v>28400</v>
      </c>
      <c r="C21" s="20">
        <v>50900</v>
      </c>
      <c r="D21" s="20">
        <v>33200</v>
      </c>
      <c r="E21" s="20">
        <v>43750</v>
      </c>
      <c r="F21" s="20">
        <v>69500</v>
      </c>
      <c r="G21" s="14">
        <f t="shared" si="1"/>
        <v>0</v>
      </c>
      <c r="H21" s="14">
        <f t="shared" si="1"/>
        <v>-1.9267822736030782E-2</v>
      </c>
      <c r="I21" s="14">
        <f t="shared" si="1"/>
        <v>0</v>
      </c>
      <c r="J21" s="14">
        <f t="shared" si="1"/>
        <v>-1.4639639639639657E-2</v>
      </c>
      <c r="K21" s="14">
        <f t="shared" si="1"/>
        <v>-1.836158192090398E-2</v>
      </c>
      <c r="L21" s="1"/>
      <c r="M21" s="58" t="s">
        <v>6</v>
      </c>
      <c r="N21" s="59"/>
      <c r="O21" s="59"/>
      <c r="P21" s="59"/>
      <c r="Q21" s="59"/>
      <c r="R21" s="59"/>
      <c r="S21" s="60"/>
      <c r="T21" s="59"/>
      <c r="U21" s="59"/>
      <c r="V21" s="59"/>
      <c r="W21" s="59"/>
      <c r="X21" s="59"/>
      <c r="Y21" s="31"/>
    </row>
    <row r="22" spans="1:27" x14ac:dyDescent="0.35">
      <c r="A22" s="12">
        <v>44967</v>
      </c>
      <c r="B22" s="20">
        <v>28400</v>
      </c>
      <c r="C22" s="20">
        <v>51900</v>
      </c>
      <c r="D22" s="20">
        <v>33200</v>
      </c>
      <c r="E22" s="20">
        <v>44400</v>
      </c>
      <c r="F22" s="20">
        <v>70800</v>
      </c>
      <c r="G22" s="14">
        <f t="shared" si="1"/>
        <v>-1.388888888888884E-2</v>
      </c>
      <c r="H22" s="14">
        <f t="shared" si="1"/>
        <v>4.2168674698795261E-2</v>
      </c>
      <c r="I22" s="14">
        <f t="shared" si="1"/>
        <v>6.0606060606060996E-3</v>
      </c>
      <c r="J22" s="14">
        <f t="shared" si="1"/>
        <v>3.6172695449241621E-2</v>
      </c>
      <c r="K22" s="14">
        <f t="shared" si="1"/>
        <v>4.2553191489360653E-3</v>
      </c>
      <c r="L22" s="1"/>
      <c r="M22" s="1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"/>
      <c r="AA22" s="1"/>
    </row>
    <row r="23" spans="1:27" ht="16" thickBot="1" x14ac:dyDescent="0.4">
      <c r="A23" s="12">
        <v>44966</v>
      </c>
      <c r="B23" s="20">
        <v>28800</v>
      </c>
      <c r="C23" s="20">
        <v>49800</v>
      </c>
      <c r="D23" s="20">
        <v>33000</v>
      </c>
      <c r="E23" s="20">
        <v>42850</v>
      </c>
      <c r="F23" s="20">
        <v>70500</v>
      </c>
      <c r="G23" s="14">
        <f t="shared" si="1"/>
        <v>3.4843205574912606E-3</v>
      </c>
      <c r="H23" s="14">
        <f t="shared" si="1"/>
        <v>-4.0000000000000036E-3</v>
      </c>
      <c r="I23" s="14">
        <f t="shared" si="1"/>
        <v>-9.009009009009028E-3</v>
      </c>
      <c r="J23" s="14">
        <f t="shared" si="1"/>
        <v>4.6893317702227932E-3</v>
      </c>
      <c r="K23" s="14">
        <f t="shared" si="1"/>
        <v>2.0260492040520939E-2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5">
      <c r="A24" s="12">
        <v>44965</v>
      </c>
      <c r="B24" s="20">
        <v>28700</v>
      </c>
      <c r="C24" s="20">
        <v>50000</v>
      </c>
      <c r="D24" s="20">
        <v>33300</v>
      </c>
      <c r="E24" s="20">
        <v>42650</v>
      </c>
      <c r="F24" s="20">
        <v>69100</v>
      </c>
      <c r="G24" s="14">
        <f t="shared" si="1"/>
        <v>2.4999999999999911E-2</v>
      </c>
      <c r="H24" s="14">
        <f t="shared" si="1"/>
        <v>2.0040080160319551E-3</v>
      </c>
      <c r="I24" s="14">
        <f t="shared" si="1"/>
        <v>5.3797468354430444E-2</v>
      </c>
      <c r="J24" s="14">
        <f t="shared" si="1"/>
        <v>1.4268727705113005E-2</v>
      </c>
      <c r="K24" s="14">
        <f t="shared" si="1"/>
        <v>-7.1839080459770166E-3</v>
      </c>
      <c r="L24" s="1"/>
      <c r="M24" s="89" t="s">
        <v>31</v>
      </c>
      <c r="N24" s="90"/>
      <c r="O24" s="90"/>
      <c r="P24" s="91" t="s">
        <v>7</v>
      </c>
      <c r="Q24" s="92"/>
      <c r="R24" s="1"/>
      <c r="S24" s="93" t="s">
        <v>28</v>
      </c>
      <c r="T24" s="94"/>
      <c r="U24" s="94"/>
      <c r="V24" s="95"/>
      <c r="W24" s="7"/>
      <c r="X24" s="1"/>
      <c r="AA24" s="1"/>
    </row>
    <row r="25" spans="1:27" x14ac:dyDescent="0.35">
      <c r="A25" s="12">
        <v>44964</v>
      </c>
      <c r="B25" s="20">
        <v>28000</v>
      </c>
      <c r="C25" s="20">
        <v>49900</v>
      </c>
      <c r="D25" s="20">
        <v>31600</v>
      </c>
      <c r="E25" s="20">
        <v>42050</v>
      </c>
      <c r="F25" s="20">
        <v>69600</v>
      </c>
      <c r="G25" s="14">
        <f t="shared" si="1"/>
        <v>-2.4390243902439046E-2</v>
      </c>
      <c r="H25" s="14">
        <f t="shared" si="1"/>
        <v>-2.0000000000000018E-3</v>
      </c>
      <c r="I25" s="14">
        <f t="shared" si="1"/>
        <v>-1.5576323987538943E-2</v>
      </c>
      <c r="J25" s="14">
        <f t="shared" si="1"/>
        <v>-5.9101654846335228E-3</v>
      </c>
      <c r="K25" s="14">
        <f t="shared" si="1"/>
        <v>1.1627906976744207E-2</v>
      </c>
      <c r="L25" s="1"/>
      <c r="M25" s="2" t="s">
        <v>19</v>
      </c>
      <c r="N25" s="19"/>
      <c r="O25" s="1"/>
      <c r="P25" s="2" t="s">
        <v>11</v>
      </c>
      <c r="Q25" s="26"/>
      <c r="R25" s="1"/>
      <c r="S25" s="61" t="s">
        <v>8</v>
      </c>
      <c r="T25" s="62"/>
      <c r="U25" s="62"/>
      <c r="V25" s="63">
        <v>0.5</v>
      </c>
      <c r="W25" s="8"/>
      <c r="X25" s="1"/>
      <c r="AA25" s="1"/>
    </row>
    <row r="26" spans="1:27" x14ac:dyDescent="0.35">
      <c r="A26" s="12">
        <v>44963</v>
      </c>
      <c r="B26" s="20">
        <v>28700</v>
      </c>
      <c r="C26" s="20">
        <v>50000</v>
      </c>
      <c r="D26" s="20">
        <v>32100</v>
      </c>
      <c r="E26" s="20">
        <v>42300</v>
      </c>
      <c r="F26" s="20">
        <v>68800</v>
      </c>
      <c r="G26" s="14">
        <f t="shared" si="1"/>
        <v>1.4134275618374659E-2</v>
      </c>
      <c r="H26" s="14">
        <f t="shared" si="1"/>
        <v>1.0101010101010166E-2</v>
      </c>
      <c r="I26" s="14">
        <f t="shared" si="1"/>
        <v>-3.1055900621117516E-3</v>
      </c>
      <c r="J26" s="14">
        <f t="shared" si="1"/>
        <v>0</v>
      </c>
      <c r="K26" s="14">
        <f t="shared" si="1"/>
        <v>3.6144578313253017E-2</v>
      </c>
      <c r="L26" s="1"/>
      <c r="M26" s="2" t="s">
        <v>3</v>
      </c>
      <c r="N26" s="19"/>
      <c r="O26" s="1"/>
      <c r="P26" s="2" t="s">
        <v>12</v>
      </c>
      <c r="Q26" s="25"/>
      <c r="R26" s="3"/>
      <c r="S26" s="61" t="s">
        <v>24</v>
      </c>
      <c r="T26" s="62"/>
      <c r="U26" s="62"/>
      <c r="V26" s="28"/>
      <c r="W26" s="8"/>
      <c r="X26" s="1"/>
    </row>
    <row r="27" spans="1:27" x14ac:dyDescent="0.35">
      <c r="A27" s="12">
        <v>44960</v>
      </c>
      <c r="B27" s="20">
        <v>28300</v>
      </c>
      <c r="C27" s="20">
        <v>49500</v>
      </c>
      <c r="D27" s="20">
        <v>32200</v>
      </c>
      <c r="E27" s="20">
        <v>42300</v>
      </c>
      <c r="F27" s="20">
        <v>66400</v>
      </c>
      <c r="G27" s="14">
        <f t="shared" si="1"/>
        <v>1.4336917562723928E-2</v>
      </c>
      <c r="H27" s="14">
        <f t="shared" si="1"/>
        <v>-2.0161290322581182E-3</v>
      </c>
      <c r="I27" s="14">
        <f t="shared" si="1"/>
        <v>0</v>
      </c>
      <c r="J27" s="14">
        <f t="shared" si="1"/>
        <v>-1.1806375442738881E-3</v>
      </c>
      <c r="K27" s="14">
        <f t="shared" si="1"/>
        <v>-1.5037593984962294E-3</v>
      </c>
      <c r="L27" s="1"/>
      <c r="M27" s="2" t="s">
        <v>32</v>
      </c>
      <c r="N27" s="19"/>
      <c r="O27" s="1"/>
      <c r="P27" s="2" t="s">
        <v>13</v>
      </c>
      <c r="Q27" s="25"/>
      <c r="R27" s="3"/>
      <c r="S27" s="61" t="s">
        <v>25</v>
      </c>
      <c r="T27" s="62"/>
      <c r="U27" s="62"/>
      <c r="V27" s="28"/>
      <c r="W27" s="8"/>
      <c r="X27" s="1"/>
    </row>
    <row r="28" spans="1:27" x14ac:dyDescent="0.35">
      <c r="A28" s="12">
        <v>44959</v>
      </c>
      <c r="B28" s="20">
        <v>27900</v>
      </c>
      <c r="C28" s="20">
        <v>49600</v>
      </c>
      <c r="D28" s="20">
        <v>32200</v>
      </c>
      <c r="E28" s="20">
        <v>42350</v>
      </c>
      <c r="F28" s="20">
        <v>66500</v>
      </c>
      <c r="G28" s="14">
        <f t="shared" si="1"/>
        <v>-1.4134275618374548E-2</v>
      </c>
      <c r="H28" s="14">
        <f t="shared" si="1"/>
        <v>2.0202020202020332E-3</v>
      </c>
      <c r="I28" s="14">
        <f t="shared" si="1"/>
        <v>-2.1276595744680882E-2</v>
      </c>
      <c r="J28" s="14">
        <f t="shared" si="1"/>
        <v>-1.0514018691588745E-2</v>
      </c>
      <c r="K28" s="14">
        <f t="shared" si="1"/>
        <v>1.3719512195121908E-2</v>
      </c>
      <c r="L28" s="1"/>
      <c r="M28" s="2" t="s">
        <v>6</v>
      </c>
      <c r="N28" s="32"/>
      <c r="O28" s="1"/>
      <c r="P28" s="2" t="s">
        <v>14</v>
      </c>
      <c r="Q28" s="25"/>
      <c r="R28" s="3"/>
      <c r="S28" s="96" t="s">
        <v>18</v>
      </c>
      <c r="T28" s="97"/>
      <c r="U28" s="97"/>
      <c r="V28" s="64">
        <f>V29/365</f>
        <v>1.2495890410958903E-4</v>
      </c>
      <c r="W28" s="8"/>
      <c r="X28" s="1"/>
    </row>
    <row r="29" spans="1:27" ht="16" thickBot="1" x14ac:dyDescent="0.4">
      <c r="A29" s="12">
        <v>44958</v>
      </c>
      <c r="B29" s="20">
        <v>28300</v>
      </c>
      <c r="C29" s="20">
        <v>49500</v>
      </c>
      <c r="D29" s="20">
        <v>32900</v>
      </c>
      <c r="E29" s="20">
        <v>42800</v>
      </c>
      <c r="F29" s="20">
        <v>65600</v>
      </c>
      <c r="G29" s="14">
        <f t="shared" si="1"/>
        <v>8.0152671755725269E-2</v>
      </c>
      <c r="H29" s="14">
        <f t="shared" si="1"/>
        <v>5.3191489361702038E-2</v>
      </c>
      <c r="I29" s="14">
        <f t="shared" si="1"/>
        <v>2.4922118380062308E-2</v>
      </c>
      <c r="J29" s="14">
        <f t="shared" si="1"/>
        <v>2.3419203747072626E-3</v>
      </c>
      <c r="K29" s="14">
        <f t="shared" si="1"/>
        <v>2.1806853582554409E-2</v>
      </c>
      <c r="L29" s="1"/>
      <c r="M29" s="3"/>
      <c r="N29" s="1"/>
      <c r="O29" s="1"/>
      <c r="P29" s="2" t="s">
        <v>15</v>
      </c>
      <c r="Q29" s="25"/>
      <c r="R29" s="3"/>
      <c r="S29" s="98" t="s">
        <v>34</v>
      </c>
      <c r="T29" s="99"/>
      <c r="U29" s="99"/>
      <c r="V29" s="65">
        <v>4.5609999999999998E-2</v>
      </c>
      <c r="W29" s="8"/>
      <c r="X29" s="1"/>
    </row>
    <row r="30" spans="1:27" ht="16" thickBot="1" x14ac:dyDescent="0.4">
      <c r="A30" s="12">
        <v>44957</v>
      </c>
      <c r="B30" s="20">
        <v>26200</v>
      </c>
      <c r="C30" s="20">
        <v>47000</v>
      </c>
      <c r="D30" s="20">
        <v>32100</v>
      </c>
      <c r="E30" s="20">
        <v>42700</v>
      </c>
      <c r="F30" s="20">
        <v>64200</v>
      </c>
      <c r="G30" s="14">
        <f t="shared" si="1"/>
        <v>-5.0724637681159424E-2</v>
      </c>
      <c r="H30" s="14">
        <f t="shared" si="1"/>
        <v>-8.4388185654008518E-3</v>
      </c>
      <c r="I30" s="14">
        <f t="shared" si="1"/>
        <v>-2.1341463414634165E-2</v>
      </c>
      <c r="J30" s="14">
        <f t="shared" si="1"/>
        <v>-1.6129032258064502E-2</v>
      </c>
      <c r="K30" s="14">
        <f t="shared" si="1"/>
        <v>-4.8888888888888871E-2</v>
      </c>
      <c r="L30" s="1"/>
      <c r="M30" s="5"/>
      <c r="N30" s="6"/>
      <c r="O30" s="6"/>
      <c r="P30" s="9" t="s">
        <v>4</v>
      </c>
      <c r="Q30" s="27">
        <f>SUM(Q25:Q29)</f>
        <v>0</v>
      </c>
      <c r="R30" s="1"/>
      <c r="W30" s="1"/>
      <c r="X30" s="1"/>
    </row>
    <row r="31" spans="1:27" ht="16" thickBot="1" x14ac:dyDescent="0.4">
      <c r="A31" s="12">
        <v>44956</v>
      </c>
      <c r="B31" s="20">
        <v>27600</v>
      </c>
      <c r="C31" s="20">
        <v>47400</v>
      </c>
      <c r="D31" s="20">
        <v>32800</v>
      </c>
      <c r="E31" s="20">
        <v>43400</v>
      </c>
      <c r="F31" s="20">
        <v>67500</v>
      </c>
      <c r="G31" s="14">
        <f t="shared" si="1"/>
        <v>-7.194244604316502E-3</v>
      </c>
      <c r="H31" s="14">
        <f t="shared" si="1"/>
        <v>-1.2499999999999956E-2</v>
      </c>
      <c r="I31" s="14">
        <f t="shared" si="1"/>
        <v>0</v>
      </c>
      <c r="J31" s="14">
        <f t="shared" si="1"/>
        <v>-1.3636363636363669E-2</v>
      </c>
      <c r="K31" s="14">
        <f t="shared" si="1"/>
        <v>-1.8895348837209336E-2</v>
      </c>
      <c r="L31" s="1"/>
      <c r="M31" s="1"/>
      <c r="N31" s="1"/>
      <c r="O31" s="1"/>
      <c r="P31" s="1"/>
      <c r="Q31" s="1"/>
      <c r="R31" s="1"/>
      <c r="W31" s="1"/>
      <c r="X31" s="1"/>
    </row>
    <row r="32" spans="1:27" x14ac:dyDescent="0.35">
      <c r="A32" s="12">
        <v>44953</v>
      </c>
      <c r="B32" s="20">
        <v>27800</v>
      </c>
      <c r="C32" s="20">
        <v>48000</v>
      </c>
      <c r="D32" s="20">
        <v>32800</v>
      </c>
      <c r="E32" s="20">
        <v>44000</v>
      </c>
      <c r="F32" s="20">
        <v>68800</v>
      </c>
      <c r="G32" s="14">
        <f t="shared" si="1"/>
        <v>-1.4184397163120588E-2</v>
      </c>
      <c r="H32" s="14">
        <f t="shared" si="1"/>
        <v>0</v>
      </c>
      <c r="I32" s="14">
        <f t="shared" si="1"/>
        <v>-3.0395136778115228E-3</v>
      </c>
      <c r="J32" s="14">
        <f t="shared" si="1"/>
        <v>1.1494252873563315E-2</v>
      </c>
      <c r="K32" s="14">
        <f t="shared" si="1"/>
        <v>-2.5495750708215303E-2</v>
      </c>
      <c r="L32" s="1"/>
      <c r="M32" s="83" t="s">
        <v>29</v>
      </c>
      <c r="N32" s="84"/>
      <c r="O32" s="85"/>
      <c r="P32" s="1"/>
      <c r="Q32" s="1"/>
      <c r="R32" s="1"/>
      <c r="W32" s="1"/>
      <c r="X32" s="1"/>
      <c r="Y32" s="1"/>
      <c r="Z32" s="1"/>
      <c r="AA32" s="1"/>
    </row>
    <row r="33" spans="1:27" x14ac:dyDescent="0.35">
      <c r="A33" s="12">
        <v>44945</v>
      </c>
      <c r="B33" s="20">
        <v>28200</v>
      </c>
      <c r="C33" s="20">
        <v>48000</v>
      </c>
      <c r="D33" s="20">
        <v>32900</v>
      </c>
      <c r="E33" s="20">
        <v>43500</v>
      </c>
      <c r="F33" s="20">
        <v>70600</v>
      </c>
      <c r="G33" s="14">
        <f t="shared" si="1"/>
        <v>3.558718861210064E-3</v>
      </c>
      <c r="H33" s="14">
        <f t="shared" si="1"/>
        <v>1.0526315789473717E-2</v>
      </c>
      <c r="I33" s="14">
        <f t="shared" si="1"/>
        <v>6.1162079510703737E-3</v>
      </c>
      <c r="J33" s="14">
        <f t="shared" si="1"/>
        <v>1.6355140186915973E-2</v>
      </c>
      <c r="K33" s="14">
        <f t="shared" si="1"/>
        <v>2.3188405797101463E-2</v>
      </c>
      <c r="L33" s="1"/>
      <c r="M33" s="33" t="s">
        <v>30</v>
      </c>
      <c r="N33" s="15" t="s">
        <v>3</v>
      </c>
      <c r="O33" s="34" t="s">
        <v>32</v>
      </c>
      <c r="P33" s="1"/>
      <c r="Q33" s="1"/>
      <c r="R33" s="1"/>
      <c r="W33" s="1"/>
      <c r="X33" s="1"/>
      <c r="Y33" s="1"/>
      <c r="Z33" s="1"/>
      <c r="AA33" s="1"/>
    </row>
    <row r="34" spans="1:27" x14ac:dyDescent="0.35">
      <c r="A34" s="12">
        <v>44944</v>
      </c>
      <c r="B34" s="20">
        <v>28100</v>
      </c>
      <c r="C34" s="20">
        <v>47500</v>
      </c>
      <c r="D34" s="20">
        <v>32700</v>
      </c>
      <c r="E34" s="20">
        <v>42800</v>
      </c>
      <c r="F34" s="20">
        <v>69000</v>
      </c>
      <c r="G34" s="14">
        <f t="shared" si="1"/>
        <v>4.0740740740740744E-2</v>
      </c>
      <c r="H34" s="14">
        <f t="shared" si="1"/>
        <v>-3.1479538300105414E-3</v>
      </c>
      <c r="I34" s="14">
        <f t="shared" si="1"/>
        <v>-1.5060240963855387E-2</v>
      </c>
      <c r="J34" s="14">
        <f t="shared" si="1"/>
        <v>-1.1547344110854452E-2</v>
      </c>
      <c r="K34" s="14">
        <f t="shared" si="1"/>
        <v>-8.6206896551723755E-3</v>
      </c>
      <c r="L34" s="1"/>
      <c r="M34" s="3"/>
      <c r="N34" s="67">
        <f>V27</f>
        <v>0</v>
      </c>
      <c r="O34" s="66">
        <f>V26</f>
        <v>0</v>
      </c>
      <c r="P34" s="1"/>
      <c r="Q34" s="1"/>
      <c r="R34" s="1"/>
      <c r="W34" s="1"/>
      <c r="X34" s="1"/>
      <c r="Y34" s="1"/>
      <c r="Z34" s="1"/>
      <c r="AA34" s="1"/>
    </row>
    <row r="35" spans="1:27" x14ac:dyDescent="0.35">
      <c r="A35" s="12">
        <v>44943</v>
      </c>
      <c r="B35" s="20">
        <v>27000</v>
      </c>
      <c r="C35" s="20">
        <v>47650</v>
      </c>
      <c r="D35" s="20">
        <v>33200</v>
      </c>
      <c r="E35" s="20">
        <v>43300</v>
      </c>
      <c r="F35" s="20">
        <v>69600</v>
      </c>
      <c r="G35" s="14">
        <f t="shared" si="1"/>
        <v>-4.2553191489361653E-2</v>
      </c>
      <c r="H35" s="14">
        <f t="shared" si="1"/>
        <v>-9.3555093555093283E-3</v>
      </c>
      <c r="I35" s="14">
        <f t="shared" si="1"/>
        <v>-1.7751479289940808E-2</v>
      </c>
      <c r="J35" s="14">
        <f t="shared" si="1"/>
        <v>-1.4789533560864654E-2</v>
      </c>
      <c r="K35" s="14">
        <f t="shared" si="1"/>
        <v>-3.0640668523676862E-2</v>
      </c>
      <c r="L35" s="1"/>
      <c r="M35" s="10">
        <v>1</v>
      </c>
      <c r="N35" s="68">
        <f t="dataTable" ref="N35:O55" dt2D="0" dtr="0" r1="V25"/>
        <v>0</v>
      </c>
      <c r="O35" s="4">
        <v>0</v>
      </c>
      <c r="P35" s="1"/>
      <c r="Q35" s="1"/>
      <c r="R35" s="1"/>
      <c r="W35" s="1"/>
      <c r="X35" s="1"/>
      <c r="Y35" s="1"/>
      <c r="Z35" s="1"/>
      <c r="AA35" s="1"/>
    </row>
    <row r="36" spans="1:27" x14ac:dyDescent="0.35">
      <c r="A36" s="12">
        <v>44942</v>
      </c>
      <c r="B36" s="20">
        <v>28200</v>
      </c>
      <c r="C36" s="20">
        <v>48100</v>
      </c>
      <c r="D36" s="20">
        <v>33800</v>
      </c>
      <c r="E36" s="20">
        <v>43950</v>
      </c>
      <c r="F36" s="20">
        <v>71800</v>
      </c>
      <c r="G36" s="14">
        <f t="shared" si="1"/>
        <v>0</v>
      </c>
      <c r="H36" s="14">
        <f t="shared" si="1"/>
        <v>8.3857442348007627E-3</v>
      </c>
      <c r="I36" s="14">
        <f t="shared" si="1"/>
        <v>1.501501501501501E-2</v>
      </c>
      <c r="J36" s="14">
        <f t="shared" si="1"/>
        <v>2.2805017103761926E-3</v>
      </c>
      <c r="K36" s="14">
        <f t="shared" si="1"/>
        <v>2.1337126600284417E-2</v>
      </c>
      <c r="L36" s="1"/>
      <c r="M36" s="10">
        <v>0.9</v>
      </c>
      <c r="N36" s="68">
        <v>0</v>
      </c>
      <c r="O36" s="4">
        <v>0</v>
      </c>
      <c r="P36" s="1"/>
      <c r="Q36" s="1"/>
      <c r="R36" s="1"/>
      <c r="W36" s="1"/>
      <c r="X36" s="1"/>
      <c r="Y36" s="1"/>
      <c r="Z36" s="1"/>
      <c r="AA36" s="1"/>
    </row>
    <row r="37" spans="1:27" x14ac:dyDescent="0.35">
      <c r="A37" s="12">
        <v>44939</v>
      </c>
      <c r="B37" s="20">
        <v>28200</v>
      </c>
      <c r="C37" s="20">
        <v>47700</v>
      </c>
      <c r="D37" s="20">
        <v>33300</v>
      </c>
      <c r="E37" s="20">
        <v>43850</v>
      </c>
      <c r="F37" s="20">
        <v>70300</v>
      </c>
      <c r="G37" s="14">
        <f t="shared" si="1"/>
        <v>-7.0422535211267512E-3</v>
      </c>
      <c r="H37" s="14">
        <f t="shared" si="1"/>
        <v>6.3291139240506666E-3</v>
      </c>
      <c r="I37" s="14">
        <f t="shared" si="1"/>
        <v>6.0422960725075026E-3</v>
      </c>
      <c r="J37" s="14">
        <f t="shared" si="1"/>
        <v>1.2702078521940052E-2</v>
      </c>
      <c r="K37" s="14">
        <f t="shared" si="1"/>
        <v>-9.8591549295774517E-3</v>
      </c>
      <c r="L37" s="1"/>
      <c r="M37" s="10">
        <v>0.8</v>
      </c>
      <c r="N37" s="68">
        <v>0</v>
      </c>
      <c r="O37" s="4">
        <v>0</v>
      </c>
      <c r="P37" s="1"/>
      <c r="Q37" s="1"/>
      <c r="R37" s="1"/>
      <c r="W37" s="1"/>
      <c r="X37" s="1"/>
      <c r="Y37" s="1"/>
      <c r="Z37" s="1"/>
      <c r="AA37" s="1"/>
    </row>
    <row r="38" spans="1:27" x14ac:dyDescent="0.35">
      <c r="A38" s="12">
        <v>44938</v>
      </c>
      <c r="B38" s="20">
        <v>28400</v>
      </c>
      <c r="C38" s="20">
        <v>47400</v>
      </c>
      <c r="D38" s="20">
        <v>33100</v>
      </c>
      <c r="E38" s="20">
        <v>43300</v>
      </c>
      <c r="F38" s="20">
        <v>71000</v>
      </c>
      <c r="G38" s="14">
        <f t="shared" si="1"/>
        <v>6.367041198501866E-2</v>
      </c>
      <c r="H38" s="14">
        <f t="shared" si="1"/>
        <v>5.3022269353129037E-3</v>
      </c>
      <c r="I38" s="14">
        <f t="shared" si="1"/>
        <v>1.2232415902140747E-2</v>
      </c>
      <c r="J38" s="14">
        <f t="shared" si="1"/>
        <v>-2.2573363431151239E-2</v>
      </c>
      <c r="K38" s="14">
        <f t="shared" si="1"/>
        <v>2.1582733812949728E-2</v>
      </c>
      <c r="L38" s="1"/>
      <c r="M38" s="10">
        <v>0.7</v>
      </c>
      <c r="N38" s="68">
        <v>0</v>
      </c>
      <c r="O38" s="4"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5">
      <c r="A39" s="12">
        <v>44937</v>
      </c>
      <c r="B39" s="20">
        <v>26700</v>
      </c>
      <c r="C39" s="20">
        <v>47150</v>
      </c>
      <c r="D39" s="20">
        <v>32700</v>
      </c>
      <c r="E39" s="20">
        <v>44300</v>
      </c>
      <c r="F39" s="20">
        <v>69500</v>
      </c>
      <c r="G39" s="14">
        <f t="shared" si="1"/>
        <v>-7.4349442379182396E-3</v>
      </c>
      <c r="H39" s="14">
        <f t="shared" si="1"/>
        <v>5.3304904051172386E-3</v>
      </c>
      <c r="I39" s="14">
        <f t="shared" si="1"/>
        <v>-2.6785714285714302E-2</v>
      </c>
      <c r="J39" s="14">
        <f t="shared" si="1"/>
        <v>-1.5555555555555545E-2</v>
      </c>
      <c r="K39" s="14">
        <f t="shared" si="1"/>
        <v>6.9230769230769207E-2</v>
      </c>
      <c r="L39" s="1"/>
      <c r="M39" s="10">
        <v>0.6</v>
      </c>
      <c r="N39" s="68">
        <v>0</v>
      </c>
      <c r="O39" s="4"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5">
      <c r="A40" s="12">
        <v>44936</v>
      </c>
      <c r="B40" s="20">
        <v>26900</v>
      </c>
      <c r="C40" s="20">
        <v>46900</v>
      </c>
      <c r="D40" s="20">
        <v>33600</v>
      </c>
      <c r="E40" s="20">
        <v>45000</v>
      </c>
      <c r="F40" s="20">
        <v>65000</v>
      </c>
      <c r="G40" s="14">
        <f t="shared" si="1"/>
        <v>5.4901960784313752E-2</v>
      </c>
      <c r="H40" s="14">
        <f t="shared" si="1"/>
        <v>2.1367521367521292E-3</v>
      </c>
      <c r="I40" s="14">
        <f t="shared" si="1"/>
        <v>-1.7543859649122862E-2</v>
      </c>
      <c r="J40" s="14">
        <f t="shared" si="1"/>
        <v>-1.098901098901095E-2</v>
      </c>
      <c r="K40" s="14">
        <f t="shared" si="1"/>
        <v>-3.0674846625766694E-3</v>
      </c>
      <c r="L40" s="1"/>
      <c r="M40" s="10">
        <v>0.5</v>
      </c>
      <c r="N40" s="68">
        <v>0</v>
      </c>
      <c r="O40" s="4"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5">
      <c r="A41" s="12">
        <v>44935</v>
      </c>
      <c r="B41" s="20">
        <v>25500</v>
      </c>
      <c r="C41" s="20">
        <v>46800</v>
      </c>
      <c r="D41" s="20">
        <v>34200</v>
      </c>
      <c r="E41" s="20">
        <v>45500</v>
      </c>
      <c r="F41" s="20">
        <v>65200</v>
      </c>
      <c r="G41" s="14">
        <f t="shared" si="1"/>
        <v>-1.9230769230769273E-2</v>
      </c>
      <c r="H41" s="14">
        <f t="shared" si="1"/>
        <v>4.0000000000000036E-2</v>
      </c>
      <c r="I41" s="14">
        <f t="shared" si="1"/>
        <v>-1.1560693641618491E-2</v>
      </c>
      <c r="J41" s="14">
        <f t="shared" si="1"/>
        <v>-1.3015184381778733E-2</v>
      </c>
      <c r="K41" s="14">
        <f t="shared" si="1"/>
        <v>3.0769230769229772E-3</v>
      </c>
      <c r="L41" s="1"/>
      <c r="M41" s="10">
        <v>0.4</v>
      </c>
      <c r="N41" s="68">
        <v>0</v>
      </c>
      <c r="O41" s="4"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5">
      <c r="A42" s="12">
        <v>44932</v>
      </c>
      <c r="B42" s="20">
        <v>26000</v>
      </c>
      <c r="C42" s="20">
        <v>45000</v>
      </c>
      <c r="D42" s="20">
        <v>34600</v>
      </c>
      <c r="E42" s="20">
        <v>46100</v>
      </c>
      <c r="F42" s="20">
        <v>65000</v>
      </c>
      <c r="G42" s="14">
        <f t="shared" si="1"/>
        <v>3.1746031746031855E-2</v>
      </c>
      <c r="H42" s="14">
        <f t="shared" si="1"/>
        <v>1.1235955056179803E-2</v>
      </c>
      <c r="I42" s="14">
        <f t="shared" si="1"/>
        <v>1.4662756598240456E-2</v>
      </c>
      <c r="J42" s="14">
        <f t="shared" si="1"/>
        <v>1.2074643249176731E-2</v>
      </c>
      <c r="K42" s="14">
        <f t="shared" si="1"/>
        <v>2.0408163265306145E-2</v>
      </c>
      <c r="L42" s="1"/>
      <c r="M42" s="10">
        <v>0.3</v>
      </c>
      <c r="N42" s="68">
        <v>0</v>
      </c>
      <c r="O42" s="4"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5">
      <c r="A43" s="12">
        <v>44931</v>
      </c>
      <c r="B43" s="20">
        <v>25200</v>
      </c>
      <c r="C43" s="20">
        <v>44500</v>
      </c>
      <c r="D43" s="20">
        <v>34100</v>
      </c>
      <c r="E43" s="20">
        <v>45550</v>
      </c>
      <c r="F43" s="20">
        <v>63700</v>
      </c>
      <c r="G43" s="14">
        <f t="shared" si="1"/>
        <v>-1.5625E-2</v>
      </c>
      <c r="H43" s="14">
        <f t="shared" si="1"/>
        <v>0</v>
      </c>
      <c r="I43" s="14">
        <f t="shared" si="1"/>
        <v>-3.125E-2</v>
      </c>
      <c r="J43" s="14">
        <f t="shared" si="1"/>
        <v>-2.8784648187633266E-2</v>
      </c>
      <c r="K43" s="14">
        <f t="shared" si="1"/>
        <v>4.7318611987381409E-3</v>
      </c>
      <c r="L43" s="1"/>
      <c r="M43" s="10">
        <v>0.2</v>
      </c>
      <c r="N43" s="68">
        <v>0</v>
      </c>
      <c r="O43" s="4"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5">
      <c r="A44" s="12">
        <v>44930</v>
      </c>
      <c r="B44" s="20">
        <v>25600</v>
      </c>
      <c r="C44" s="20">
        <v>44500</v>
      </c>
      <c r="D44" s="20">
        <v>35200</v>
      </c>
      <c r="E44" s="20">
        <v>46900</v>
      </c>
      <c r="F44" s="20">
        <v>63400</v>
      </c>
      <c r="G44" s="14">
        <f t="shared" si="1"/>
        <v>-3.7593984962406068E-2</v>
      </c>
      <c r="H44" s="14">
        <f t="shared" si="1"/>
        <v>-1.8743109151047377E-2</v>
      </c>
      <c r="I44" s="14">
        <f t="shared" si="1"/>
        <v>0</v>
      </c>
      <c r="J44" s="14">
        <f t="shared" si="1"/>
        <v>-2.1276595744680327E-3</v>
      </c>
      <c r="K44" s="14">
        <f t="shared" si="1"/>
        <v>-3.793626707132014E-2</v>
      </c>
      <c r="L44" s="1"/>
      <c r="M44" s="10">
        <v>0.1</v>
      </c>
      <c r="N44" s="68">
        <v>0</v>
      </c>
      <c r="O44" s="4"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5">
      <c r="A45" s="12">
        <v>44929</v>
      </c>
      <c r="B45" s="20">
        <v>26600</v>
      </c>
      <c r="C45" s="20">
        <v>45350</v>
      </c>
      <c r="D45" s="20">
        <v>35200</v>
      </c>
      <c r="E45" s="20">
        <v>47000</v>
      </c>
      <c r="F45" s="20">
        <v>65900</v>
      </c>
      <c r="G45" s="14">
        <f t="shared" si="1"/>
        <v>1.9157088122605304E-2</v>
      </c>
      <c r="H45" s="14">
        <f t="shared" si="1"/>
        <v>-1.413043478260867E-2</v>
      </c>
      <c r="I45" s="14">
        <f t="shared" si="1"/>
        <v>2.9239766081871288E-2</v>
      </c>
      <c r="J45" s="14">
        <f t="shared" si="1"/>
        <v>-1.6736401673640211E-2</v>
      </c>
      <c r="K45" s="14">
        <f t="shared" si="1"/>
        <v>-6.0331825037707176E-3</v>
      </c>
      <c r="L45" s="1"/>
      <c r="M45" s="10">
        <v>0</v>
      </c>
      <c r="N45" s="68">
        <v>0</v>
      </c>
      <c r="O45" s="4"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5">
      <c r="A46" s="12">
        <v>44925</v>
      </c>
      <c r="B46" s="20">
        <v>26100</v>
      </c>
      <c r="C46" s="20">
        <v>46000</v>
      </c>
      <c r="D46" s="20">
        <v>34200</v>
      </c>
      <c r="E46" s="20">
        <v>47800</v>
      </c>
      <c r="F46" s="20">
        <v>66300</v>
      </c>
      <c r="G46" s="14">
        <f t="shared" si="1"/>
        <v>7.7220077220077066E-3</v>
      </c>
      <c r="H46" s="14">
        <f t="shared" si="1"/>
        <v>1.098901098901095E-2</v>
      </c>
      <c r="I46" s="14">
        <f t="shared" si="1"/>
        <v>1.7857142857142794E-2</v>
      </c>
      <c r="J46" s="14">
        <f t="shared" si="1"/>
        <v>-4.1666666666666519E-3</v>
      </c>
      <c r="K46" s="14">
        <f t="shared" si="1"/>
        <v>2.6315789473684292E-2</v>
      </c>
      <c r="L46" s="1"/>
      <c r="M46" s="10">
        <v>-0.1</v>
      </c>
      <c r="N46" s="68">
        <v>0</v>
      </c>
      <c r="O46" s="4"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5">
      <c r="A47" s="12">
        <v>44924</v>
      </c>
      <c r="B47" s="20">
        <v>25900</v>
      </c>
      <c r="C47" s="20">
        <v>45500</v>
      </c>
      <c r="D47" s="20">
        <v>33600</v>
      </c>
      <c r="E47" s="20">
        <v>48000</v>
      </c>
      <c r="F47" s="20">
        <v>64600</v>
      </c>
      <c r="G47" s="14">
        <f t="shared" si="1"/>
        <v>2.7777777777777679E-2</v>
      </c>
      <c r="H47" s="14">
        <f t="shared" si="1"/>
        <v>-2.1929824561403022E-3</v>
      </c>
      <c r="I47" s="14">
        <f t="shared" si="1"/>
        <v>-2.3255813953488413E-2</v>
      </c>
      <c r="J47" s="14">
        <f t="shared" si="1"/>
        <v>1.9108280254777066E-2</v>
      </c>
      <c r="K47" s="14">
        <f t="shared" si="1"/>
        <v>6.230529595015577E-3</v>
      </c>
      <c r="L47" s="1"/>
      <c r="M47" s="10">
        <v>-0.2</v>
      </c>
      <c r="N47" s="68">
        <v>0</v>
      </c>
      <c r="O47" s="4"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5">
      <c r="A48" s="12">
        <v>44923</v>
      </c>
      <c r="B48" s="20">
        <v>25200</v>
      </c>
      <c r="C48" s="20">
        <v>45600</v>
      </c>
      <c r="D48" s="20">
        <v>34400</v>
      </c>
      <c r="E48" s="20">
        <v>47100</v>
      </c>
      <c r="F48" s="20">
        <v>64200</v>
      </c>
      <c r="G48" s="14">
        <f t="shared" si="1"/>
        <v>2.0242914979757165E-2</v>
      </c>
      <c r="H48" s="14">
        <f t="shared" si="1"/>
        <v>6.9167643610785534E-2</v>
      </c>
      <c r="I48" s="14">
        <f t="shared" si="1"/>
        <v>2.9940119760478945E-2</v>
      </c>
      <c r="J48" s="14">
        <f t="shared" si="1"/>
        <v>2.1276595744681437E-3</v>
      </c>
      <c r="K48" s="14">
        <f t="shared" si="1"/>
        <v>7.0000000000000062E-2</v>
      </c>
      <c r="L48" s="1"/>
      <c r="M48" s="10">
        <v>-0.3</v>
      </c>
      <c r="N48" s="68">
        <v>0</v>
      </c>
      <c r="O48" s="4"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5">
      <c r="A49" s="12">
        <v>44922</v>
      </c>
      <c r="B49" s="20">
        <v>24700</v>
      </c>
      <c r="C49" s="20">
        <v>42650</v>
      </c>
      <c r="D49" s="20">
        <v>33400</v>
      </c>
      <c r="E49" s="20">
        <v>47000</v>
      </c>
      <c r="F49" s="20">
        <v>60000</v>
      </c>
      <c r="G49" s="14">
        <f t="shared" si="1"/>
        <v>2.0661157024793431E-2</v>
      </c>
      <c r="H49" s="14">
        <f t="shared" si="1"/>
        <v>1.9115890083632125E-2</v>
      </c>
      <c r="I49" s="14">
        <f t="shared" si="1"/>
        <v>2.7692307692307683E-2</v>
      </c>
      <c r="J49" s="14">
        <f t="shared" si="1"/>
        <v>0</v>
      </c>
      <c r="K49" s="14">
        <f t="shared" si="1"/>
        <v>2.7397260273972712E-2</v>
      </c>
      <c r="L49" s="1"/>
      <c r="M49" s="10">
        <v>-0.4</v>
      </c>
      <c r="N49" s="68">
        <v>0</v>
      </c>
      <c r="O49" s="4"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5">
      <c r="A50" s="12">
        <v>44921</v>
      </c>
      <c r="B50" s="20">
        <v>24200</v>
      </c>
      <c r="C50" s="20">
        <v>41850</v>
      </c>
      <c r="D50" s="20">
        <v>32500</v>
      </c>
      <c r="E50" s="20">
        <v>47000</v>
      </c>
      <c r="F50" s="20">
        <v>58400</v>
      </c>
      <c r="G50" s="14">
        <f t="shared" si="1"/>
        <v>-2.4193548387096753E-2</v>
      </c>
      <c r="H50" s="14">
        <f t="shared" si="1"/>
        <v>1.1961722488038617E-3</v>
      </c>
      <c r="I50" s="14">
        <f t="shared" si="1"/>
        <v>-2.9850746268656692E-2</v>
      </c>
      <c r="J50" s="14">
        <f t="shared" si="1"/>
        <v>-1.1566771819137789E-2</v>
      </c>
      <c r="K50" s="14">
        <f t="shared" si="1"/>
        <v>3.3628318584070893E-2</v>
      </c>
      <c r="L50" s="1"/>
      <c r="M50" s="10">
        <v>-0.5</v>
      </c>
      <c r="N50" s="68">
        <v>0</v>
      </c>
      <c r="O50" s="4"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5">
      <c r="A51" s="12">
        <v>44918</v>
      </c>
      <c r="B51" s="20">
        <v>24800</v>
      </c>
      <c r="C51" s="20">
        <v>41800</v>
      </c>
      <c r="D51" s="20">
        <v>33500</v>
      </c>
      <c r="E51" s="20">
        <v>47550</v>
      </c>
      <c r="F51" s="20">
        <v>56500</v>
      </c>
      <c r="G51" s="14">
        <f t="shared" si="1"/>
        <v>2.9045643153526868E-2</v>
      </c>
      <c r="H51" s="14">
        <f t="shared" si="1"/>
        <v>1.4563106796116498E-2</v>
      </c>
      <c r="I51" s="14">
        <f t="shared" si="1"/>
        <v>1.2084592145015005E-2</v>
      </c>
      <c r="J51" s="14">
        <f t="shared" si="1"/>
        <v>2.1074815595363283E-3</v>
      </c>
      <c r="K51" s="14">
        <f t="shared" si="1"/>
        <v>8.9285714285713969E-3</v>
      </c>
      <c r="L51" s="1"/>
      <c r="M51" s="10">
        <v>-0.6</v>
      </c>
      <c r="N51" s="68">
        <v>0</v>
      </c>
      <c r="O51" s="4"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5">
      <c r="A52" s="12">
        <v>44917</v>
      </c>
      <c r="B52" s="20">
        <v>24100</v>
      </c>
      <c r="C52" s="20">
        <v>41200</v>
      </c>
      <c r="D52" s="20">
        <v>33100</v>
      </c>
      <c r="E52" s="20">
        <v>47450</v>
      </c>
      <c r="F52" s="20">
        <v>56000</v>
      </c>
      <c r="G52" s="14">
        <f t="shared" si="1"/>
        <v>2.5531914893617058E-2</v>
      </c>
      <c r="H52" s="14">
        <f t="shared" si="1"/>
        <v>3.0000000000000027E-2</v>
      </c>
      <c r="I52" s="14">
        <f t="shared" si="1"/>
        <v>-8.8154269972451793E-2</v>
      </c>
      <c r="J52" s="14">
        <f t="shared" si="1"/>
        <v>-1.0526315789474161E-3</v>
      </c>
      <c r="K52" s="14">
        <f t="shared" si="1"/>
        <v>-2.6086956521739091E-2</v>
      </c>
      <c r="L52" s="1"/>
      <c r="M52" s="10">
        <v>-0.7</v>
      </c>
      <c r="N52" s="68">
        <v>0</v>
      </c>
      <c r="O52" s="4"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5">
      <c r="A53" s="12">
        <v>44916</v>
      </c>
      <c r="B53" s="20">
        <v>23500</v>
      </c>
      <c r="C53" s="20">
        <v>40000</v>
      </c>
      <c r="D53" s="20">
        <v>36300</v>
      </c>
      <c r="E53" s="20">
        <v>47500</v>
      </c>
      <c r="F53" s="20">
        <v>57500</v>
      </c>
      <c r="G53" s="14">
        <f t="shared" si="1"/>
        <v>-6.0000000000000053E-2</v>
      </c>
      <c r="H53" s="14">
        <f t="shared" si="1"/>
        <v>-3.3816425120772986E-2</v>
      </c>
      <c r="I53" s="14">
        <f t="shared" si="1"/>
        <v>9.0090090090090058E-2</v>
      </c>
      <c r="J53" s="14">
        <f t="shared" si="1"/>
        <v>-3.6511156186612603E-2</v>
      </c>
      <c r="K53" s="14">
        <f t="shared" si="1"/>
        <v>-6.6558441558441594E-2</v>
      </c>
      <c r="L53" s="1"/>
      <c r="M53" s="10">
        <v>-0.8</v>
      </c>
      <c r="N53" s="68">
        <v>0</v>
      </c>
      <c r="O53" s="4"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5">
      <c r="A54" s="12">
        <v>44915</v>
      </c>
      <c r="B54" s="20">
        <v>25000</v>
      </c>
      <c r="C54" s="20">
        <v>41400</v>
      </c>
      <c r="D54" s="20">
        <v>33300</v>
      </c>
      <c r="E54" s="20">
        <v>49300</v>
      </c>
      <c r="F54" s="20">
        <v>61600</v>
      </c>
      <c r="G54" s="14">
        <f t="shared" si="1"/>
        <v>-6.7164179104477584E-2</v>
      </c>
      <c r="H54" s="14">
        <f t="shared" si="1"/>
        <v>-5.4794520547945202E-2</v>
      </c>
      <c r="I54" s="14">
        <f t="shared" si="1"/>
        <v>9.0909090909090384E-3</v>
      </c>
      <c r="J54" s="14">
        <f t="shared" si="1"/>
        <v>-3.3333333333333326E-2</v>
      </c>
      <c r="K54" s="14">
        <f t="shared" si="1"/>
        <v>-1.1235955056179803E-2</v>
      </c>
      <c r="L54" s="1"/>
      <c r="M54" s="10">
        <v>-0.9</v>
      </c>
      <c r="N54" s="68">
        <v>0</v>
      </c>
      <c r="O54" s="4"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thickBot="1" x14ac:dyDescent="0.4">
      <c r="A55" s="12">
        <v>44914</v>
      </c>
      <c r="B55" s="20">
        <v>26800</v>
      </c>
      <c r="C55" s="20">
        <v>43800</v>
      </c>
      <c r="D55" s="20">
        <v>33000</v>
      </c>
      <c r="E55" s="20">
        <v>51000</v>
      </c>
      <c r="F55" s="20">
        <v>62300</v>
      </c>
      <c r="G55" s="14">
        <f t="shared" si="1"/>
        <v>-1.8315018315018361E-2</v>
      </c>
      <c r="H55" s="14">
        <f t="shared" si="1"/>
        <v>1.1428571428571122E-3</v>
      </c>
      <c r="I55" s="14">
        <f t="shared" si="1"/>
        <v>1.8518518518518601E-2</v>
      </c>
      <c r="J55" s="14">
        <f t="shared" si="1"/>
        <v>-3.90625E-3</v>
      </c>
      <c r="K55" s="14">
        <f t="shared" si="1"/>
        <v>3.3167495854063089E-2</v>
      </c>
      <c r="L55" s="1"/>
      <c r="M55" s="69">
        <v>-1</v>
      </c>
      <c r="N55" s="70">
        <v>0</v>
      </c>
      <c r="O55" s="71"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5">
      <c r="A56" s="12">
        <v>44911</v>
      </c>
      <c r="B56" s="20">
        <v>27300</v>
      </c>
      <c r="C56" s="20">
        <v>43750</v>
      </c>
      <c r="D56" s="20">
        <v>32400</v>
      </c>
      <c r="E56" s="20">
        <v>51200</v>
      </c>
      <c r="F56" s="20">
        <v>60300</v>
      </c>
      <c r="G56" s="14">
        <f t="shared" si="1"/>
        <v>1.8656716417910557E-2</v>
      </c>
      <c r="H56" s="14">
        <f t="shared" si="1"/>
        <v>1.9813519813519864E-2</v>
      </c>
      <c r="I56" s="14">
        <f t="shared" si="1"/>
        <v>1.2499999999999956E-2</v>
      </c>
      <c r="J56" s="14">
        <f t="shared" si="1"/>
        <v>-2.4761904761904763E-2</v>
      </c>
      <c r="K56" s="14">
        <f t="shared" si="1"/>
        <v>-0.1507042253521127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5">
      <c r="A57" s="12">
        <v>44910</v>
      </c>
      <c r="B57" s="20">
        <v>26800</v>
      </c>
      <c r="C57" s="20">
        <v>42900</v>
      </c>
      <c r="D57" s="20">
        <v>32000</v>
      </c>
      <c r="E57" s="20">
        <v>52500</v>
      </c>
      <c r="F57" s="20">
        <v>71000</v>
      </c>
      <c r="G57" s="14">
        <f t="shared" si="1"/>
        <v>2.6819923371647514E-2</v>
      </c>
      <c r="H57" s="14">
        <f t="shared" si="1"/>
        <v>-9.2378752886835835E-3</v>
      </c>
      <c r="I57" s="14">
        <f t="shared" si="1"/>
        <v>-1.538461538461533E-2</v>
      </c>
      <c r="J57" s="14">
        <f t="shared" si="1"/>
        <v>0</v>
      </c>
      <c r="K57" s="14">
        <f t="shared" si="1"/>
        <v>-2.0689655172413834E-2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5">
      <c r="A58" s="12">
        <v>44909</v>
      </c>
      <c r="B58" s="20">
        <v>26100</v>
      </c>
      <c r="C58" s="20">
        <v>43300</v>
      </c>
      <c r="D58" s="20">
        <v>32500</v>
      </c>
      <c r="E58" s="20">
        <v>52500</v>
      </c>
      <c r="F58" s="20">
        <v>72500</v>
      </c>
      <c r="G58" s="14">
        <f t="shared" si="1"/>
        <v>-3.8167938931297218E-3</v>
      </c>
      <c r="H58" s="14">
        <f t="shared" si="1"/>
        <v>4.3373493975903621E-2</v>
      </c>
      <c r="I58" s="14">
        <f t="shared" si="1"/>
        <v>7.2607260726072598E-2</v>
      </c>
      <c r="J58" s="14">
        <f t="shared" si="1"/>
        <v>5.2104208416833719E-2</v>
      </c>
      <c r="K58" s="14">
        <f t="shared" si="1"/>
        <v>3.5714285714285809E-2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5">
      <c r="A59" s="12">
        <v>44908</v>
      </c>
      <c r="B59" s="20">
        <v>26200</v>
      </c>
      <c r="C59" s="20">
        <v>41500</v>
      </c>
      <c r="D59" s="20">
        <v>30300</v>
      </c>
      <c r="E59" s="20">
        <v>49900</v>
      </c>
      <c r="F59" s="20">
        <v>70000</v>
      </c>
      <c r="G59" s="14">
        <f t="shared" si="1"/>
        <v>-1.132075471698113E-2</v>
      </c>
      <c r="H59" s="14">
        <f t="shared" si="1"/>
        <v>6.9587628865979356E-2</v>
      </c>
      <c r="I59" s="14">
        <f t="shared" si="1"/>
        <v>2.3648648648648685E-2</v>
      </c>
      <c r="J59" s="14">
        <f t="shared" si="1"/>
        <v>-1.3833992094861691E-2</v>
      </c>
      <c r="K59" s="14">
        <f t="shared" si="1"/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5">
      <c r="A60" s="12">
        <v>44907</v>
      </c>
      <c r="B60" s="20">
        <v>26500</v>
      </c>
      <c r="C60" s="20">
        <v>38800</v>
      </c>
      <c r="D60" s="20">
        <v>29600</v>
      </c>
      <c r="E60" s="20">
        <v>50600</v>
      </c>
      <c r="F60" s="20">
        <v>70000</v>
      </c>
      <c r="G60" s="14">
        <f t="shared" si="1"/>
        <v>-7.4906367041198685E-3</v>
      </c>
      <c r="H60" s="14">
        <f t="shared" si="1"/>
        <v>5.1813471502590858E-3</v>
      </c>
      <c r="I60" s="14">
        <f t="shared" si="1"/>
        <v>-3.3670033670033517E-3</v>
      </c>
      <c r="J60" s="14">
        <f t="shared" si="1"/>
        <v>1.2000000000000011E-2</v>
      </c>
      <c r="K60" s="14">
        <f t="shared" si="1"/>
        <v>1.1560693641618602E-2</v>
      </c>
      <c r="L60" s="1"/>
      <c r="M60" s="1"/>
      <c r="N60" s="1"/>
      <c r="O60" s="1"/>
      <c r="P60" s="1"/>
    </row>
    <row r="61" spans="1:27" x14ac:dyDescent="0.35">
      <c r="A61" s="12">
        <v>44904</v>
      </c>
      <c r="B61" s="20">
        <v>26700</v>
      </c>
      <c r="C61" s="20">
        <v>38600</v>
      </c>
      <c r="D61" s="20">
        <v>29700</v>
      </c>
      <c r="E61" s="20">
        <v>50000</v>
      </c>
      <c r="F61" s="20">
        <v>69200</v>
      </c>
      <c r="G61" s="14">
        <f t="shared" si="1"/>
        <v>-1.8382352941176516E-2</v>
      </c>
      <c r="H61" s="14">
        <f t="shared" si="1"/>
        <v>-1.7811704834605591E-2</v>
      </c>
      <c r="I61" s="14">
        <f t="shared" si="1"/>
        <v>-6.6889632107023367E-3</v>
      </c>
      <c r="J61" s="14">
        <f t="shared" si="1"/>
        <v>-2.7237354085603127E-2</v>
      </c>
      <c r="K61" s="14">
        <f t="shared" si="1"/>
        <v>-1.1428571428571455E-2</v>
      </c>
      <c r="L61" s="1"/>
      <c r="M61" s="1"/>
      <c r="N61" s="1"/>
      <c r="O61" s="1"/>
      <c r="P61" s="1"/>
    </row>
    <row r="62" spans="1:27" x14ac:dyDescent="0.35">
      <c r="A62" s="12">
        <v>44903</v>
      </c>
      <c r="B62" s="20">
        <v>27200</v>
      </c>
      <c r="C62" s="20">
        <v>39300</v>
      </c>
      <c r="D62" s="20">
        <v>29900</v>
      </c>
      <c r="E62" s="20">
        <v>51400</v>
      </c>
      <c r="F62" s="20">
        <v>70000</v>
      </c>
      <c r="G62" s="14">
        <f t="shared" si="1"/>
        <v>7.5098814229249022E-2</v>
      </c>
      <c r="H62" s="14">
        <f t="shared" si="1"/>
        <v>-2.5380710659897998E-3</v>
      </c>
      <c r="I62" s="14">
        <f t="shared" si="1"/>
        <v>-3.3333333333332993E-3</v>
      </c>
      <c r="J62" s="14">
        <f t="shared" si="1"/>
        <v>-1.1538461538461497E-2</v>
      </c>
      <c r="K62" s="14">
        <f t="shared" si="1"/>
        <v>0</v>
      </c>
      <c r="L62" s="1"/>
      <c r="M62" s="1"/>
      <c r="N62" s="1"/>
      <c r="O62" s="1"/>
      <c r="P62" s="1"/>
    </row>
    <row r="63" spans="1:27" x14ac:dyDescent="0.35">
      <c r="A63" s="12">
        <v>44902</v>
      </c>
      <c r="B63" s="20">
        <v>25300</v>
      </c>
      <c r="C63" s="20">
        <v>39400</v>
      </c>
      <c r="D63" s="20">
        <v>30000</v>
      </c>
      <c r="E63" s="20">
        <v>52000</v>
      </c>
      <c r="F63" s="20">
        <v>70000</v>
      </c>
      <c r="G63" s="14">
        <f t="shared" si="1"/>
        <v>0</v>
      </c>
      <c r="H63" s="14">
        <f t="shared" si="1"/>
        <v>5.1020408163264808E-3</v>
      </c>
      <c r="I63" s="14">
        <f t="shared" si="1"/>
        <v>3.8062283737024138E-2</v>
      </c>
      <c r="J63" s="14">
        <f t="shared" si="1"/>
        <v>-1.9193857965451588E-3</v>
      </c>
      <c r="K63" s="14">
        <f t="shared" si="1"/>
        <v>2.9411764705882248E-2</v>
      </c>
      <c r="L63" s="1"/>
      <c r="M63" s="1"/>
      <c r="N63" s="1"/>
      <c r="O63" s="1"/>
      <c r="P63" s="1"/>
    </row>
    <row r="64" spans="1:27" x14ac:dyDescent="0.35">
      <c r="A64" s="12">
        <v>44901</v>
      </c>
      <c r="B64" s="20">
        <v>25300</v>
      </c>
      <c r="C64" s="20">
        <v>39200</v>
      </c>
      <c r="D64" s="20">
        <v>28900</v>
      </c>
      <c r="E64" s="20">
        <v>52100</v>
      </c>
      <c r="F64" s="20">
        <v>68000</v>
      </c>
      <c r="G64" s="14">
        <f t="shared" si="1"/>
        <v>-3.937007874015741E-3</v>
      </c>
      <c r="H64" s="14">
        <f t="shared" si="1"/>
        <v>7.7120822622107621E-3</v>
      </c>
      <c r="I64" s="14">
        <f t="shared" si="1"/>
        <v>-2.3648648648648685E-2</v>
      </c>
      <c r="J64" s="14">
        <f t="shared" si="1"/>
        <v>-1.1385199240986688E-2</v>
      </c>
      <c r="K64" s="14">
        <f t="shared" si="1"/>
        <v>-8.7463556851311575E-3</v>
      </c>
      <c r="L64" s="1"/>
      <c r="M64" s="1"/>
      <c r="N64" s="1"/>
      <c r="O64" s="1"/>
      <c r="P64" s="1"/>
    </row>
    <row r="65" spans="1:27" x14ac:dyDescent="0.35">
      <c r="A65" s="12">
        <v>44900</v>
      </c>
      <c r="B65" s="20">
        <v>25400</v>
      </c>
      <c r="C65" s="20">
        <v>38900</v>
      </c>
      <c r="D65" s="20">
        <v>29600</v>
      </c>
      <c r="E65" s="20">
        <v>52700</v>
      </c>
      <c r="F65" s="20">
        <v>68600</v>
      </c>
      <c r="G65" s="14">
        <f t="shared" si="1"/>
        <v>0</v>
      </c>
      <c r="H65" s="14">
        <f t="shared" si="1"/>
        <v>2.5773195876288568E-3</v>
      </c>
      <c r="I65" s="14">
        <f t="shared" si="1"/>
        <v>2.7777777777777679E-2</v>
      </c>
      <c r="J65" s="14">
        <f t="shared" si="1"/>
        <v>-2.0446096654275103E-2</v>
      </c>
      <c r="K65" s="14">
        <f t="shared" si="1"/>
        <v>8.8235294117646745E-3</v>
      </c>
      <c r="L65" s="1"/>
      <c r="M65" s="1"/>
      <c r="N65" s="1"/>
      <c r="O65" s="1"/>
      <c r="P65" s="1"/>
    </row>
    <row r="66" spans="1:27" x14ac:dyDescent="0.35">
      <c r="A66" s="12">
        <v>44897</v>
      </c>
      <c r="B66" s="20">
        <v>25400</v>
      </c>
      <c r="C66" s="20">
        <v>38800</v>
      </c>
      <c r="D66" s="20">
        <v>28800</v>
      </c>
      <c r="E66" s="20">
        <v>53800</v>
      </c>
      <c r="F66" s="20">
        <v>68000</v>
      </c>
      <c r="G66" s="14">
        <f t="shared" si="1"/>
        <v>2.008032128514059E-2</v>
      </c>
      <c r="H66" s="14">
        <f t="shared" si="1"/>
        <v>4.8648648648648596E-2</v>
      </c>
      <c r="I66" s="14">
        <f t="shared" si="1"/>
        <v>6.9930069930070893E-3</v>
      </c>
      <c r="J66" s="14">
        <f t="shared" si="1"/>
        <v>-5.5452865064694601E-3</v>
      </c>
      <c r="K66" s="14">
        <f t="shared" si="1"/>
        <v>2.9498525073745618E-3</v>
      </c>
      <c r="L66" s="1"/>
      <c r="M66" s="1"/>
      <c r="N66" s="1"/>
      <c r="O66" s="1"/>
      <c r="P66" s="1"/>
    </row>
    <row r="67" spans="1:27" x14ac:dyDescent="0.35">
      <c r="A67" s="12">
        <v>44896</v>
      </c>
      <c r="B67" s="20">
        <v>24900</v>
      </c>
      <c r="C67" s="20">
        <v>37000</v>
      </c>
      <c r="D67" s="20">
        <v>28600</v>
      </c>
      <c r="E67" s="20">
        <v>54100</v>
      </c>
      <c r="F67" s="20">
        <v>67800</v>
      </c>
      <c r="G67" s="14">
        <f t="shared" si="1"/>
        <v>0</v>
      </c>
      <c r="H67" s="14">
        <f t="shared" si="1"/>
        <v>5.4347826086955653E-3</v>
      </c>
      <c r="I67" s="14">
        <f t="shared" si="1"/>
        <v>1.7793594306049876E-2</v>
      </c>
      <c r="J67" s="14">
        <f t="shared" si="1"/>
        <v>-1.0968921389396757E-2</v>
      </c>
      <c r="K67" s="14">
        <f t="shared" si="1"/>
        <v>1.0432190760059523E-2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5">
      <c r="A68" s="12">
        <v>44895</v>
      </c>
      <c r="B68" s="20">
        <v>24900</v>
      </c>
      <c r="C68" s="20">
        <v>36800</v>
      </c>
      <c r="D68" s="20">
        <v>28100</v>
      </c>
      <c r="E68" s="20">
        <v>54700</v>
      </c>
      <c r="F68" s="20">
        <v>67100</v>
      </c>
      <c r="G68" s="14">
        <f t="shared" ref="G68:K118" si="3">B68/B69-1</f>
        <v>4.0322580645162365E-3</v>
      </c>
      <c r="H68" s="14">
        <f t="shared" si="3"/>
        <v>1.377410468319562E-2</v>
      </c>
      <c r="I68" s="14">
        <f t="shared" si="3"/>
        <v>-1.0563380281690127E-2</v>
      </c>
      <c r="J68" s="14">
        <f t="shared" si="3"/>
        <v>2.2429906542056122E-2</v>
      </c>
      <c r="K68" s="14">
        <f t="shared" si="3"/>
        <v>3.2307692307692371E-2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5">
      <c r="A69" s="12">
        <v>44894</v>
      </c>
      <c r="B69" s="20">
        <v>24800</v>
      </c>
      <c r="C69" s="20">
        <v>36300</v>
      </c>
      <c r="D69" s="20">
        <v>28400</v>
      </c>
      <c r="E69" s="20">
        <v>53500</v>
      </c>
      <c r="F69" s="20">
        <v>65000</v>
      </c>
      <c r="G69" s="14">
        <f t="shared" si="3"/>
        <v>-8.0000000000000071E-3</v>
      </c>
      <c r="H69" s="14">
        <f t="shared" si="3"/>
        <v>-1.2244897959183709E-2</v>
      </c>
      <c r="I69" s="14">
        <f t="shared" si="3"/>
        <v>1.4285714285714235E-2</v>
      </c>
      <c r="J69" s="14">
        <f t="shared" si="3"/>
        <v>-3.4296028880866469E-2</v>
      </c>
      <c r="K69" s="14">
        <f t="shared" si="3"/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5">
      <c r="A70" s="12">
        <v>44893</v>
      </c>
      <c r="B70" s="20">
        <v>25000</v>
      </c>
      <c r="C70" s="20">
        <v>36750</v>
      </c>
      <c r="D70" s="20">
        <v>28000</v>
      </c>
      <c r="E70" s="20">
        <v>55400</v>
      </c>
      <c r="F70" s="20">
        <v>65000</v>
      </c>
      <c r="G70" s="14">
        <f t="shared" si="3"/>
        <v>3.7344398340249052E-2</v>
      </c>
      <c r="H70" s="14">
        <f t="shared" si="3"/>
        <v>0</v>
      </c>
      <c r="I70" s="14">
        <f t="shared" si="3"/>
        <v>3.3210332103321027E-2</v>
      </c>
      <c r="J70" s="14">
        <f t="shared" si="3"/>
        <v>-1.0714285714285676E-2</v>
      </c>
      <c r="K70" s="14">
        <f t="shared" si="3"/>
        <v>1.5408320493066618E-3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5">
      <c r="A71" s="12">
        <v>44890</v>
      </c>
      <c r="B71" s="20">
        <v>24100</v>
      </c>
      <c r="C71" s="20">
        <v>36750</v>
      </c>
      <c r="D71" s="20">
        <v>27100</v>
      </c>
      <c r="E71" s="20">
        <v>56000</v>
      </c>
      <c r="F71" s="20">
        <v>64900</v>
      </c>
      <c r="G71" s="14">
        <f t="shared" si="3"/>
        <v>-8.2304526748970819E-3</v>
      </c>
      <c r="H71" s="14">
        <f t="shared" si="3"/>
        <v>0</v>
      </c>
      <c r="I71" s="14">
        <f t="shared" si="3"/>
        <v>-1.4545454545454528E-2</v>
      </c>
      <c r="J71" s="14">
        <f t="shared" si="3"/>
        <v>3.512014787430684E-2</v>
      </c>
      <c r="K71" s="14">
        <f t="shared" si="3"/>
        <v>-2.4060150375939893E-2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5">
      <c r="A72" s="12">
        <v>44889</v>
      </c>
      <c r="B72" s="20">
        <v>24300</v>
      </c>
      <c r="C72" s="20">
        <v>36750</v>
      </c>
      <c r="D72" s="20">
        <v>27500</v>
      </c>
      <c r="E72" s="20">
        <v>54100</v>
      </c>
      <c r="F72" s="20">
        <v>66500</v>
      </c>
      <c r="G72" s="14">
        <f t="shared" si="3"/>
        <v>2.9661016949152463E-2</v>
      </c>
      <c r="H72" s="14">
        <f t="shared" si="3"/>
        <v>8.2304526748970819E-3</v>
      </c>
      <c r="I72" s="14">
        <f t="shared" si="3"/>
        <v>1.8518518518518601E-2</v>
      </c>
      <c r="J72" s="14">
        <f t="shared" si="3"/>
        <v>6.9169960474308345E-2</v>
      </c>
      <c r="K72" s="14">
        <f t="shared" si="3"/>
        <v>2.1505376344086002E-2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5">
      <c r="A73" s="12">
        <v>44888</v>
      </c>
      <c r="B73" s="20">
        <v>23600</v>
      </c>
      <c r="C73" s="20">
        <v>36450</v>
      </c>
      <c r="D73" s="20">
        <v>27000</v>
      </c>
      <c r="E73" s="20">
        <v>50600</v>
      </c>
      <c r="F73" s="20">
        <v>65100</v>
      </c>
      <c r="G73" s="14">
        <f t="shared" si="3"/>
        <v>1.7241379310344751E-2</v>
      </c>
      <c r="H73" s="14">
        <f t="shared" si="3"/>
        <v>3.2577903682719622E-2</v>
      </c>
      <c r="I73" s="14">
        <f t="shared" si="3"/>
        <v>1.8867924528301883E-2</v>
      </c>
      <c r="J73" s="14">
        <f t="shared" si="3"/>
        <v>0</v>
      </c>
      <c r="K73" s="14">
        <f t="shared" si="3"/>
        <v>9.302325581395321E-3</v>
      </c>
      <c r="L73" s="1"/>
      <c r="M73" s="1"/>
      <c r="N73" s="1"/>
      <c r="O73" s="1"/>
      <c r="P73" s="1"/>
      <c r="Q73" s="1"/>
    </row>
    <row r="74" spans="1:27" x14ac:dyDescent="0.35">
      <c r="A74" s="12">
        <v>44887</v>
      </c>
      <c r="B74" s="20">
        <v>23200</v>
      </c>
      <c r="C74" s="20">
        <v>35300</v>
      </c>
      <c r="D74" s="20">
        <v>26500</v>
      </c>
      <c r="E74" s="20">
        <v>50600</v>
      </c>
      <c r="F74" s="20">
        <v>64500</v>
      </c>
      <c r="G74" s="14">
        <f t="shared" si="3"/>
        <v>-3.3333333333333326E-2</v>
      </c>
      <c r="H74" s="14">
        <f t="shared" si="3"/>
        <v>0</v>
      </c>
      <c r="I74" s="14">
        <f t="shared" si="3"/>
        <v>-2.5735294117647078E-2</v>
      </c>
      <c r="J74" s="14">
        <f t="shared" si="3"/>
        <v>-9.7847358121331274E-3</v>
      </c>
      <c r="K74" s="14">
        <f t="shared" si="3"/>
        <v>4.0322580645161255E-2</v>
      </c>
      <c r="L74" s="1"/>
      <c r="M74" s="1"/>
      <c r="N74" s="1"/>
      <c r="O74" s="1"/>
      <c r="P74" s="1"/>
      <c r="Q74" s="1"/>
    </row>
    <row r="75" spans="1:27" x14ac:dyDescent="0.35">
      <c r="A75" s="12">
        <v>44886</v>
      </c>
      <c r="B75" s="20">
        <v>24000</v>
      </c>
      <c r="C75" s="20">
        <v>35300</v>
      </c>
      <c r="D75" s="20">
        <v>27200</v>
      </c>
      <c r="E75" s="20">
        <v>51100</v>
      </c>
      <c r="F75" s="20">
        <v>62000</v>
      </c>
      <c r="G75" s="14">
        <f t="shared" si="3"/>
        <v>5.7268722466960353E-2</v>
      </c>
      <c r="H75" s="14">
        <f t="shared" si="3"/>
        <v>2.9154518950437414E-2</v>
      </c>
      <c r="I75" s="14">
        <f t="shared" si="3"/>
        <v>2.6415094339622636E-2</v>
      </c>
      <c r="J75" s="14">
        <f t="shared" si="3"/>
        <v>7.8895463510848529E-3</v>
      </c>
      <c r="K75" s="14">
        <f t="shared" si="3"/>
        <v>6.3464837049742817E-2</v>
      </c>
      <c r="L75" s="1"/>
      <c r="M75" s="1"/>
      <c r="N75" s="1"/>
      <c r="O75" s="1"/>
      <c r="P75" s="1"/>
      <c r="Q75" s="1"/>
    </row>
    <row r="76" spans="1:27" x14ac:dyDescent="0.35">
      <c r="A76" s="12">
        <v>44883</v>
      </c>
      <c r="B76" s="20">
        <v>22700</v>
      </c>
      <c r="C76" s="20">
        <v>34300</v>
      </c>
      <c r="D76" s="20">
        <v>26500</v>
      </c>
      <c r="E76" s="20">
        <v>50700</v>
      </c>
      <c r="F76" s="20">
        <v>58300</v>
      </c>
      <c r="G76" s="14">
        <f t="shared" si="3"/>
        <v>-4.3859649122807154E-3</v>
      </c>
      <c r="H76" s="14">
        <f t="shared" si="3"/>
        <v>1.4792899408283988E-2</v>
      </c>
      <c r="I76" s="14">
        <f t="shared" si="3"/>
        <v>-1.4869888475836479E-2</v>
      </c>
      <c r="J76" s="14">
        <f t="shared" si="3"/>
        <v>5.9523809523809312E-3</v>
      </c>
      <c r="K76" s="14">
        <f t="shared" si="3"/>
        <v>-5.1194539249146409E-3</v>
      </c>
      <c r="L76" s="1"/>
      <c r="M76" s="1"/>
      <c r="N76" s="1"/>
      <c r="O76" s="1"/>
      <c r="P76" s="1"/>
      <c r="Q76" s="1"/>
    </row>
    <row r="77" spans="1:27" x14ac:dyDescent="0.35">
      <c r="A77" s="12">
        <v>44882</v>
      </c>
      <c r="B77" s="20">
        <v>22800</v>
      </c>
      <c r="C77" s="20">
        <v>33800</v>
      </c>
      <c r="D77" s="20">
        <v>26900</v>
      </c>
      <c r="E77" s="20">
        <v>50400</v>
      </c>
      <c r="F77" s="20">
        <v>58600</v>
      </c>
      <c r="G77" s="14">
        <f t="shared" si="3"/>
        <v>1.3333333333333419E-2</v>
      </c>
      <c r="H77" s="14">
        <f t="shared" si="3"/>
        <v>3.0487804878048808E-2</v>
      </c>
      <c r="I77" s="14">
        <f t="shared" si="3"/>
        <v>7.6000000000000068E-2</v>
      </c>
      <c r="J77" s="14">
        <f t="shared" si="3"/>
        <v>1.9880715705764551E-3</v>
      </c>
      <c r="K77" s="14">
        <f t="shared" si="3"/>
        <v>3.7168141592920367E-2</v>
      </c>
      <c r="L77" s="1"/>
      <c r="M77" s="1"/>
      <c r="N77" s="1"/>
      <c r="O77" s="1"/>
      <c r="P77" s="1"/>
      <c r="Q77" s="1"/>
    </row>
    <row r="78" spans="1:27" x14ac:dyDescent="0.35">
      <c r="A78" s="12">
        <v>44881</v>
      </c>
      <c r="B78" s="20">
        <v>22500</v>
      </c>
      <c r="C78" s="20">
        <v>32800</v>
      </c>
      <c r="D78" s="20">
        <v>25000</v>
      </c>
      <c r="E78" s="20">
        <v>50300</v>
      </c>
      <c r="F78" s="20">
        <v>56500</v>
      </c>
      <c r="G78" s="14">
        <f t="shared" si="3"/>
        <v>-9.2741935483870996E-2</v>
      </c>
      <c r="H78" s="14">
        <f t="shared" si="3"/>
        <v>-1.6491754122938573E-2</v>
      </c>
      <c r="I78" s="14">
        <f t="shared" si="3"/>
        <v>-7.7490774907749027E-2</v>
      </c>
      <c r="J78" s="14">
        <f t="shared" si="3"/>
        <v>-5.9288537549406772E-3</v>
      </c>
      <c r="K78" s="14">
        <f t="shared" si="3"/>
        <v>0</v>
      </c>
      <c r="L78" s="1"/>
      <c r="M78" s="1"/>
      <c r="N78" s="1"/>
      <c r="O78" s="1"/>
      <c r="P78" s="1"/>
      <c r="Q78" s="1"/>
    </row>
    <row r="79" spans="1:27" x14ac:dyDescent="0.35">
      <c r="A79" s="12">
        <v>44880</v>
      </c>
      <c r="B79" s="20">
        <v>24800</v>
      </c>
      <c r="C79" s="20">
        <v>33350</v>
      </c>
      <c r="D79" s="20">
        <v>27100</v>
      </c>
      <c r="E79" s="20">
        <v>50600</v>
      </c>
      <c r="F79" s="20">
        <v>56500</v>
      </c>
      <c r="G79" s="14">
        <f t="shared" si="3"/>
        <v>-1.9762845849802368E-2</v>
      </c>
      <c r="H79" s="14">
        <f t="shared" si="3"/>
        <v>4.5180722891566827E-3</v>
      </c>
      <c r="I79" s="14">
        <f t="shared" si="3"/>
        <v>-2.5179856115107868E-2</v>
      </c>
      <c r="J79" s="14">
        <f t="shared" si="3"/>
        <v>-1.9723865877712132E-3</v>
      </c>
      <c r="K79" s="14">
        <f t="shared" si="3"/>
        <v>-1.0507880910682998E-2</v>
      </c>
      <c r="L79" s="1"/>
      <c r="M79" s="1"/>
      <c r="N79" s="1"/>
      <c r="O79" s="1"/>
      <c r="P79" s="1"/>
      <c r="Q79" s="1"/>
    </row>
    <row r="80" spans="1:27" x14ac:dyDescent="0.35">
      <c r="A80" s="12">
        <v>44879</v>
      </c>
      <c r="B80" s="20">
        <v>25300</v>
      </c>
      <c r="C80" s="20">
        <v>33200</v>
      </c>
      <c r="D80" s="20">
        <v>27800</v>
      </c>
      <c r="E80" s="20">
        <v>50700</v>
      </c>
      <c r="F80" s="20">
        <v>57100</v>
      </c>
      <c r="G80" s="14">
        <f t="shared" si="3"/>
        <v>0</v>
      </c>
      <c r="H80" s="14">
        <f t="shared" si="3"/>
        <v>1.0654490106544845E-2</v>
      </c>
      <c r="I80" s="14">
        <f t="shared" si="3"/>
        <v>4.9056603773584895E-2</v>
      </c>
      <c r="J80" s="14">
        <f t="shared" si="3"/>
        <v>5.9523809523809312E-3</v>
      </c>
      <c r="K80" s="14">
        <f t="shared" si="3"/>
        <v>2.8828828828828756E-2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5">
      <c r="A81" s="12">
        <v>44876</v>
      </c>
      <c r="B81" s="20">
        <v>25300</v>
      </c>
      <c r="C81" s="20">
        <v>32850</v>
      </c>
      <c r="D81" s="20">
        <v>26500</v>
      </c>
      <c r="E81" s="20">
        <v>50400</v>
      </c>
      <c r="F81" s="20">
        <v>55500</v>
      </c>
      <c r="G81" s="14">
        <f t="shared" si="3"/>
        <v>-1.5564202334630295E-2</v>
      </c>
      <c r="H81" s="14">
        <f t="shared" si="3"/>
        <v>3.0534351145037331E-3</v>
      </c>
      <c r="I81" s="14">
        <f t="shared" si="3"/>
        <v>-2.9304029304029311E-2</v>
      </c>
      <c r="J81" s="14">
        <f t="shared" si="3"/>
        <v>-1.980198019801982E-3</v>
      </c>
      <c r="K81" s="14">
        <f t="shared" si="3"/>
        <v>-2.4604569420035194E-2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5">
      <c r="A82" s="12">
        <v>44875</v>
      </c>
      <c r="B82" s="20">
        <v>25700</v>
      </c>
      <c r="C82" s="20">
        <v>32750</v>
      </c>
      <c r="D82" s="20">
        <v>27300</v>
      </c>
      <c r="E82" s="20">
        <v>50500</v>
      </c>
      <c r="F82" s="20">
        <v>56900</v>
      </c>
      <c r="G82" s="14">
        <f t="shared" si="3"/>
        <v>5.7613168724279795E-2</v>
      </c>
      <c r="H82" s="14">
        <f t="shared" si="3"/>
        <v>3.3123028391167209E-2</v>
      </c>
      <c r="I82" s="14">
        <f t="shared" si="3"/>
        <v>9.6385542168674787E-2</v>
      </c>
      <c r="J82" s="14">
        <f t="shared" si="3"/>
        <v>1.9841269841269771E-3</v>
      </c>
      <c r="K82" s="14">
        <f t="shared" si="3"/>
        <v>2.3381294964028854E-2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5">
      <c r="A83" s="12">
        <v>44874</v>
      </c>
      <c r="B83" s="20">
        <v>24300</v>
      </c>
      <c r="C83" s="20">
        <v>31700</v>
      </c>
      <c r="D83" s="20">
        <v>24900</v>
      </c>
      <c r="E83" s="20">
        <v>50400</v>
      </c>
      <c r="F83" s="20">
        <v>55600</v>
      </c>
      <c r="G83" s="14">
        <f t="shared" si="3"/>
        <v>3.8461538461538547E-2</v>
      </c>
      <c r="H83" s="14">
        <f t="shared" si="3"/>
        <v>-6.7647058823529393E-2</v>
      </c>
      <c r="I83" s="14">
        <f t="shared" si="3"/>
        <v>-9.4545454545454599E-2</v>
      </c>
      <c r="J83" s="14">
        <f t="shared" si="3"/>
        <v>-1.5625E-2</v>
      </c>
      <c r="K83" s="14">
        <f t="shared" si="3"/>
        <v>-6.8676716917922986E-2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5">
      <c r="A84" s="12">
        <v>44873</v>
      </c>
      <c r="B84" s="20">
        <v>23400</v>
      </c>
      <c r="C84" s="20">
        <v>34000</v>
      </c>
      <c r="D84" s="20">
        <v>27500</v>
      </c>
      <c r="E84" s="20">
        <v>51200</v>
      </c>
      <c r="F84" s="20">
        <v>59700</v>
      </c>
      <c r="G84" s="14">
        <f t="shared" si="3"/>
        <v>-5.6451612903225756E-2</v>
      </c>
      <c r="H84" s="14">
        <f t="shared" si="3"/>
        <v>-2.2988505747126409E-2</v>
      </c>
      <c r="I84" s="14">
        <f t="shared" si="3"/>
        <v>-9.539473684210531E-2</v>
      </c>
      <c r="J84" s="14">
        <f t="shared" si="3"/>
        <v>-3.8910505836575737E-3</v>
      </c>
      <c r="K84" s="14">
        <f t="shared" si="3"/>
        <v>-2.9268292682926855E-2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5">
      <c r="A85" s="12">
        <v>44872</v>
      </c>
      <c r="B85" s="20">
        <v>24800</v>
      </c>
      <c r="C85" s="20">
        <v>34800</v>
      </c>
      <c r="D85" s="20">
        <v>30400</v>
      </c>
      <c r="E85" s="20">
        <v>51400</v>
      </c>
      <c r="F85" s="20">
        <v>61500</v>
      </c>
      <c r="G85" s="14">
        <f t="shared" si="3"/>
        <v>-4.0160642570281624E-3</v>
      </c>
      <c r="H85" s="14">
        <f t="shared" si="3"/>
        <v>-3.4674063800277377E-2</v>
      </c>
      <c r="I85" s="14">
        <f t="shared" si="3"/>
        <v>-3.2786885245901232E-3</v>
      </c>
      <c r="J85" s="14">
        <f t="shared" si="3"/>
        <v>3.90625E-3</v>
      </c>
      <c r="K85" s="14">
        <f t="shared" si="3"/>
        <v>1.6286644951140072E-3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5">
      <c r="A86" s="12">
        <v>44869</v>
      </c>
      <c r="B86" s="20">
        <v>24900</v>
      </c>
      <c r="C86" s="20">
        <v>36050</v>
      </c>
      <c r="D86" s="20">
        <v>30500</v>
      </c>
      <c r="E86" s="20">
        <v>51200</v>
      </c>
      <c r="F86" s="20">
        <v>61400</v>
      </c>
      <c r="G86" s="14">
        <f t="shared" si="3"/>
        <v>-4.0000000000000036E-3</v>
      </c>
      <c r="H86" s="14">
        <f t="shared" si="3"/>
        <v>-4.1436464088397962E-3</v>
      </c>
      <c r="I86" s="14">
        <f t="shared" si="3"/>
        <v>3.0405405405405483E-2</v>
      </c>
      <c r="J86" s="14">
        <f t="shared" si="3"/>
        <v>1.1857707509881354E-2</v>
      </c>
      <c r="K86" s="14">
        <f t="shared" si="3"/>
        <v>-9.6774193548386789E-3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5">
      <c r="A87" s="12">
        <v>44868</v>
      </c>
      <c r="B87" s="20">
        <v>25000</v>
      </c>
      <c r="C87" s="20">
        <v>36200</v>
      </c>
      <c r="D87" s="20">
        <v>29600</v>
      </c>
      <c r="E87" s="20">
        <v>50600</v>
      </c>
      <c r="F87" s="20">
        <v>62000</v>
      </c>
      <c r="G87" s="14">
        <f t="shared" si="3"/>
        <v>-7.407407407407407E-2</v>
      </c>
      <c r="H87" s="14">
        <f t="shared" si="3"/>
        <v>-1.2278308321964526E-2</v>
      </c>
      <c r="I87" s="14">
        <f t="shared" si="3"/>
        <v>-9.7560975609756073E-2</v>
      </c>
      <c r="J87" s="14">
        <f t="shared" si="3"/>
        <v>-1.747572815533982E-2</v>
      </c>
      <c r="K87" s="14">
        <f t="shared" si="3"/>
        <v>-4.3209876543209846E-2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5">
      <c r="A88" s="12">
        <v>44867</v>
      </c>
      <c r="B88" s="20">
        <v>27000</v>
      </c>
      <c r="C88" s="20">
        <v>36650</v>
      </c>
      <c r="D88" s="20">
        <v>32800</v>
      </c>
      <c r="E88" s="20">
        <v>51500</v>
      </c>
      <c r="F88" s="20">
        <v>64800</v>
      </c>
      <c r="G88" s="14">
        <f t="shared" si="3"/>
        <v>-3.9145907473309594E-2</v>
      </c>
      <c r="H88" s="14">
        <f t="shared" si="3"/>
        <v>-1.7426273458445052E-2</v>
      </c>
      <c r="I88" s="14">
        <f t="shared" si="3"/>
        <v>-3.5294117647058809E-2</v>
      </c>
      <c r="J88" s="14">
        <f t="shared" si="3"/>
        <v>-1.9379844961240345E-3</v>
      </c>
      <c r="K88" s="14">
        <f t="shared" si="3"/>
        <v>3.0959752321981782E-3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5">
      <c r="A89" s="12">
        <v>44866</v>
      </c>
      <c r="B89" s="20">
        <v>28100</v>
      </c>
      <c r="C89" s="20">
        <v>37300</v>
      </c>
      <c r="D89" s="20">
        <v>34000</v>
      </c>
      <c r="E89" s="20">
        <v>51600</v>
      </c>
      <c r="F89" s="20">
        <v>64600</v>
      </c>
      <c r="G89" s="14">
        <f t="shared" si="3"/>
        <v>-7.0671378091873294E-3</v>
      </c>
      <c r="H89" s="14">
        <f t="shared" si="3"/>
        <v>1.3586956521739024E-2</v>
      </c>
      <c r="I89" s="14">
        <f t="shared" si="3"/>
        <v>2.7190332326284095E-2</v>
      </c>
      <c r="J89" s="14">
        <f t="shared" si="3"/>
        <v>-3.8610038610038533E-3</v>
      </c>
      <c r="K89" s="14">
        <f t="shared" si="3"/>
        <v>4.870129870129869E-2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5">
      <c r="A90" s="12">
        <v>44865</v>
      </c>
      <c r="B90" s="20">
        <v>28300</v>
      </c>
      <c r="C90" s="20">
        <v>36800</v>
      </c>
      <c r="D90" s="20">
        <v>33100</v>
      </c>
      <c r="E90" s="20">
        <v>51800</v>
      </c>
      <c r="F90" s="20">
        <v>61600</v>
      </c>
      <c r="G90" s="14">
        <f t="shared" si="3"/>
        <v>-1.736111111111116E-2</v>
      </c>
      <c r="H90" s="14">
        <f t="shared" si="3"/>
        <v>2.7247956403269047E-3</v>
      </c>
      <c r="I90" s="14">
        <f t="shared" si="3"/>
        <v>9.9667774086378724E-2</v>
      </c>
      <c r="J90" s="14">
        <f t="shared" si="3"/>
        <v>1.171875E-2</v>
      </c>
      <c r="K90" s="14">
        <f t="shared" si="3"/>
        <v>3.3557046979865834E-2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5">
      <c r="A91" s="12">
        <v>44862</v>
      </c>
      <c r="B91" s="20">
        <v>28800</v>
      </c>
      <c r="C91" s="20">
        <v>36700</v>
      </c>
      <c r="D91" s="20">
        <v>30100</v>
      </c>
      <c r="E91" s="20">
        <v>51200</v>
      </c>
      <c r="F91" s="20">
        <v>59600</v>
      </c>
      <c r="G91" s="14">
        <f t="shared" si="3"/>
        <v>-3.3557046979865723E-2</v>
      </c>
      <c r="H91" s="14">
        <f t="shared" si="3"/>
        <v>-1.0781671159029615E-2</v>
      </c>
      <c r="I91" s="14">
        <f t="shared" si="3"/>
        <v>-1.9543973941368087E-2</v>
      </c>
      <c r="J91" s="14">
        <f t="shared" si="3"/>
        <v>3.9215686274509665E-3</v>
      </c>
      <c r="K91" s="14">
        <f t="shared" si="3"/>
        <v>6.7567567567567988E-3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5">
      <c r="A92" s="12">
        <v>44861</v>
      </c>
      <c r="B92" s="20">
        <v>29800</v>
      </c>
      <c r="C92" s="20">
        <v>37100</v>
      </c>
      <c r="D92" s="20">
        <v>30700</v>
      </c>
      <c r="E92" s="20">
        <v>51000</v>
      </c>
      <c r="F92" s="20">
        <v>59200</v>
      </c>
      <c r="G92" s="14">
        <f t="shared" si="3"/>
        <v>-2.2950819672131195E-2</v>
      </c>
      <c r="H92" s="14">
        <f t="shared" si="3"/>
        <v>5.4200542005420349E-3</v>
      </c>
      <c r="I92" s="14">
        <f t="shared" si="3"/>
        <v>-1.2861736334405127E-2</v>
      </c>
      <c r="J92" s="14">
        <f t="shared" si="3"/>
        <v>1.9646365422396617E-3</v>
      </c>
      <c r="K92" s="14">
        <f t="shared" si="3"/>
        <v>1.3698630136986356E-2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5">
      <c r="A93" s="12">
        <v>44860</v>
      </c>
      <c r="B93" s="20">
        <v>30500</v>
      </c>
      <c r="C93" s="20">
        <v>36900</v>
      </c>
      <c r="D93" s="20">
        <v>31100</v>
      </c>
      <c r="E93" s="20">
        <v>50900</v>
      </c>
      <c r="F93" s="20">
        <v>58400</v>
      </c>
      <c r="G93" s="14">
        <f t="shared" si="3"/>
        <v>6.6006600660066805E-3</v>
      </c>
      <c r="H93" s="14">
        <f t="shared" si="3"/>
        <v>2.7173913043478937E-3</v>
      </c>
      <c r="I93" s="14">
        <f t="shared" si="3"/>
        <v>1.9672131147540961E-2</v>
      </c>
      <c r="J93" s="14">
        <f t="shared" si="3"/>
        <v>1.1928429423459175E-2</v>
      </c>
      <c r="K93" s="14">
        <f t="shared" si="3"/>
        <v>3.4364261168384758E-3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5">
      <c r="A94" s="12">
        <v>44859</v>
      </c>
      <c r="B94" s="20">
        <v>30300</v>
      </c>
      <c r="C94" s="20">
        <v>36800</v>
      </c>
      <c r="D94" s="20">
        <v>30500</v>
      </c>
      <c r="E94" s="20">
        <v>50300</v>
      </c>
      <c r="F94" s="20">
        <v>58200</v>
      </c>
      <c r="G94" s="14">
        <f t="shared" si="3"/>
        <v>2.7118644067796627E-2</v>
      </c>
      <c r="H94" s="14">
        <f t="shared" si="3"/>
        <v>-5.4054054054053502E-3</v>
      </c>
      <c r="I94" s="14">
        <f t="shared" si="3"/>
        <v>6.643356643356646E-2</v>
      </c>
      <c r="J94" s="14">
        <f t="shared" si="3"/>
        <v>3.9920159680639777E-3</v>
      </c>
      <c r="K94" s="14">
        <f t="shared" si="3"/>
        <v>-8.5178875638841633E-3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5">
      <c r="A95" s="12">
        <v>44858</v>
      </c>
      <c r="B95" s="20">
        <v>29500</v>
      </c>
      <c r="C95" s="20">
        <v>37000</v>
      </c>
      <c r="D95" s="20">
        <v>28600</v>
      </c>
      <c r="E95" s="20">
        <v>50100</v>
      </c>
      <c r="F95" s="20">
        <v>58700</v>
      </c>
      <c r="G95" s="14">
        <f t="shared" si="3"/>
        <v>-1.3377926421404673E-2</v>
      </c>
      <c r="H95" s="14">
        <f t="shared" si="3"/>
        <v>-2.3746701846965701E-2</v>
      </c>
      <c r="I95" s="14">
        <f t="shared" si="3"/>
        <v>-1.038062283737029E-2</v>
      </c>
      <c r="J95" s="14">
        <f t="shared" si="3"/>
        <v>4.0080160320641323E-3</v>
      </c>
      <c r="K95" s="14">
        <f t="shared" si="3"/>
        <v>-5.0847457627118953E-3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5">
      <c r="A96" s="12">
        <v>44855</v>
      </c>
      <c r="B96" s="20">
        <v>29900</v>
      </c>
      <c r="C96" s="20">
        <v>37900</v>
      </c>
      <c r="D96" s="20">
        <v>28900</v>
      </c>
      <c r="E96" s="20">
        <v>49900</v>
      </c>
      <c r="F96" s="20">
        <v>59000</v>
      </c>
      <c r="G96" s="14">
        <f t="shared" si="3"/>
        <v>-1.9672131147540961E-2</v>
      </c>
      <c r="H96" s="14">
        <f t="shared" si="3"/>
        <v>1.6085790884718509E-2</v>
      </c>
      <c r="I96" s="14">
        <f t="shared" si="3"/>
        <v>1.4035087719298289E-2</v>
      </c>
      <c r="J96" s="14">
        <f t="shared" si="3"/>
        <v>-2.0000000000000018E-3</v>
      </c>
      <c r="K96" s="14">
        <f t="shared" si="3"/>
        <v>-1.9933554817275767E-2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5">
      <c r="A97" s="12">
        <v>44854</v>
      </c>
      <c r="B97" s="20">
        <v>30500</v>
      </c>
      <c r="C97" s="20">
        <v>37300</v>
      </c>
      <c r="D97" s="20">
        <v>28500</v>
      </c>
      <c r="E97" s="20">
        <v>50000</v>
      </c>
      <c r="F97" s="20">
        <v>60200</v>
      </c>
      <c r="G97" s="14">
        <f t="shared" si="3"/>
        <v>3.2894736842106198E-3</v>
      </c>
      <c r="H97" s="14">
        <f t="shared" si="3"/>
        <v>-2.3560209424083767E-2</v>
      </c>
      <c r="I97" s="14">
        <f t="shared" si="3"/>
        <v>0</v>
      </c>
      <c r="J97" s="14">
        <f t="shared" si="3"/>
        <v>-9.9009900990099098E-3</v>
      </c>
      <c r="K97" s="14">
        <f t="shared" si="3"/>
        <v>8.3752093802345051E-3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5">
      <c r="A98" s="12">
        <v>44853</v>
      </c>
      <c r="B98" s="20">
        <v>30400</v>
      </c>
      <c r="C98" s="20">
        <v>38200</v>
      </c>
      <c r="D98" s="20">
        <v>28500</v>
      </c>
      <c r="E98" s="20">
        <v>50500</v>
      </c>
      <c r="F98" s="20">
        <v>59700</v>
      </c>
      <c r="G98" s="14">
        <f t="shared" si="3"/>
        <v>1.6722408026755842E-2</v>
      </c>
      <c r="H98" s="14">
        <f t="shared" si="3"/>
        <v>-2.0512820512820551E-2</v>
      </c>
      <c r="I98" s="14">
        <f t="shared" si="3"/>
        <v>7.0671378091873294E-3</v>
      </c>
      <c r="J98" s="14">
        <f t="shared" si="3"/>
        <v>-5.9055118110236116E-3</v>
      </c>
      <c r="K98" s="14">
        <f t="shared" si="3"/>
        <v>-9.9502487562188602E-3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5">
      <c r="A99" s="12">
        <v>44852</v>
      </c>
      <c r="B99" s="20">
        <v>29900</v>
      </c>
      <c r="C99" s="20">
        <v>39000</v>
      </c>
      <c r="D99" s="20">
        <v>28300</v>
      </c>
      <c r="E99" s="20">
        <v>50800</v>
      </c>
      <c r="F99" s="20">
        <v>60300</v>
      </c>
      <c r="G99" s="14">
        <f t="shared" si="3"/>
        <v>-3.3333333333332993E-3</v>
      </c>
      <c r="H99" s="14">
        <f t="shared" si="3"/>
        <v>0</v>
      </c>
      <c r="I99" s="14">
        <f t="shared" si="3"/>
        <v>7.1174377224199059E-3</v>
      </c>
      <c r="J99" s="14">
        <f t="shared" si="3"/>
        <v>5.9405940594059459E-3</v>
      </c>
      <c r="K99" s="14">
        <f t="shared" si="3"/>
        <v>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5">
      <c r="A100" s="12">
        <v>44851</v>
      </c>
      <c r="B100" s="20">
        <v>30000</v>
      </c>
      <c r="C100" s="20">
        <v>39000</v>
      </c>
      <c r="D100" s="20">
        <v>28100</v>
      </c>
      <c r="E100" s="20">
        <v>50500</v>
      </c>
      <c r="F100" s="20">
        <v>60300</v>
      </c>
      <c r="G100" s="14">
        <f t="shared" si="3"/>
        <v>2.3890784982935065E-2</v>
      </c>
      <c r="H100" s="14">
        <f t="shared" si="3"/>
        <v>3.4482758620689724E-2</v>
      </c>
      <c r="I100" s="14">
        <f t="shared" si="3"/>
        <v>-3.5460992907800915E-3</v>
      </c>
      <c r="J100" s="14">
        <f t="shared" si="3"/>
        <v>0</v>
      </c>
      <c r="K100" s="14">
        <f t="shared" si="3"/>
        <v>2.2033898305084731E-2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5">
      <c r="A101" s="12">
        <v>44848</v>
      </c>
      <c r="B101" s="20">
        <v>29300</v>
      </c>
      <c r="C101" s="20">
        <v>37700</v>
      </c>
      <c r="D101" s="20">
        <v>28200</v>
      </c>
      <c r="E101" s="20">
        <v>50500</v>
      </c>
      <c r="F101" s="20">
        <v>59000</v>
      </c>
      <c r="G101" s="14">
        <f t="shared" si="3"/>
        <v>2.0905923344947785E-2</v>
      </c>
      <c r="H101" s="14">
        <f t="shared" si="3"/>
        <v>2.4456521739130377E-2</v>
      </c>
      <c r="I101" s="14">
        <f t="shared" si="3"/>
        <v>-2.083333333333337E-2</v>
      </c>
      <c r="J101" s="14">
        <f t="shared" si="3"/>
        <v>-1.3671875E-2</v>
      </c>
      <c r="K101" s="14">
        <f t="shared" si="3"/>
        <v>-2.960526315789469E-2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5">
      <c r="A102" s="12">
        <v>44847</v>
      </c>
      <c r="B102" s="20">
        <v>28700</v>
      </c>
      <c r="C102" s="20">
        <v>36800</v>
      </c>
      <c r="D102" s="20">
        <v>28800</v>
      </c>
      <c r="E102" s="20">
        <v>51200</v>
      </c>
      <c r="F102" s="20">
        <v>60800</v>
      </c>
      <c r="G102" s="14">
        <f t="shared" si="3"/>
        <v>-2.0477815699658675E-2</v>
      </c>
      <c r="H102" s="14">
        <f t="shared" si="3"/>
        <v>5.464480874316946E-3</v>
      </c>
      <c r="I102" s="14">
        <f t="shared" si="3"/>
        <v>-1.7064846416382284E-2</v>
      </c>
      <c r="J102" s="14">
        <f t="shared" si="3"/>
        <v>1.9569471624265589E-3</v>
      </c>
      <c r="K102" s="14">
        <f t="shared" si="3"/>
        <v>1.3333333333333419E-2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5">
      <c r="A103" s="12">
        <v>44846</v>
      </c>
      <c r="B103" s="20">
        <v>29300</v>
      </c>
      <c r="C103" s="20">
        <v>36600</v>
      </c>
      <c r="D103" s="20">
        <v>29300</v>
      </c>
      <c r="E103" s="20">
        <v>51100</v>
      </c>
      <c r="F103" s="20">
        <v>60000</v>
      </c>
      <c r="G103" s="14">
        <f t="shared" si="3"/>
        <v>3.900709219858145E-2</v>
      </c>
      <c r="H103" s="14">
        <f t="shared" si="3"/>
        <v>-2.7247956403270157E-3</v>
      </c>
      <c r="I103" s="14">
        <f t="shared" si="3"/>
        <v>3.900709219858145E-2</v>
      </c>
      <c r="J103" s="14">
        <f t="shared" si="3"/>
        <v>1.9607843137254832E-3</v>
      </c>
      <c r="K103" s="14">
        <f t="shared" si="3"/>
        <v>-1.1532125205930832E-2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5">
      <c r="A104" s="12">
        <v>44845</v>
      </c>
      <c r="B104" s="20">
        <v>28200</v>
      </c>
      <c r="C104" s="20">
        <v>36700</v>
      </c>
      <c r="D104" s="20">
        <v>28200</v>
      </c>
      <c r="E104" s="20">
        <v>51000</v>
      </c>
      <c r="F104" s="20">
        <v>60700</v>
      </c>
      <c r="G104" s="14">
        <f t="shared" si="3"/>
        <v>4.8327137546468446E-2</v>
      </c>
      <c r="H104" s="14">
        <f t="shared" si="3"/>
        <v>2.732240437158362E-3</v>
      </c>
      <c r="I104" s="14">
        <f t="shared" si="3"/>
        <v>3.2967032967033072E-2</v>
      </c>
      <c r="J104" s="14">
        <f t="shared" si="3"/>
        <v>1.3916500994035852E-2</v>
      </c>
      <c r="K104" s="14">
        <f t="shared" si="3"/>
        <v>4.8359240069084652E-2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5">
      <c r="A105" s="12">
        <v>44844</v>
      </c>
      <c r="B105" s="20">
        <v>26900</v>
      </c>
      <c r="C105" s="20">
        <v>36600</v>
      </c>
      <c r="D105" s="20">
        <v>27300</v>
      </c>
      <c r="E105" s="20">
        <v>50300</v>
      </c>
      <c r="F105" s="20">
        <v>57900</v>
      </c>
      <c r="G105" s="14">
        <f t="shared" si="3"/>
        <v>-5.2816901408450745E-2</v>
      </c>
      <c r="H105" s="14">
        <f t="shared" si="3"/>
        <v>6.8613138686131281E-2</v>
      </c>
      <c r="I105" s="14">
        <f t="shared" si="3"/>
        <v>-1.4440433212996373E-2</v>
      </c>
      <c r="J105" s="14">
        <f t="shared" si="3"/>
        <v>1.4112903225806495E-2</v>
      </c>
      <c r="K105" s="14">
        <f t="shared" si="3"/>
        <v>-1.7241379310344307E-3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5">
      <c r="A106" s="12">
        <v>44841</v>
      </c>
      <c r="B106" s="20">
        <v>28400</v>
      </c>
      <c r="C106" s="20">
        <v>34250</v>
      </c>
      <c r="D106" s="20">
        <v>27700</v>
      </c>
      <c r="E106" s="20">
        <v>49600</v>
      </c>
      <c r="F106" s="20">
        <v>58000</v>
      </c>
      <c r="G106" s="14">
        <f t="shared" si="3"/>
        <v>5.1851851851851816E-2</v>
      </c>
      <c r="H106" s="14">
        <f t="shared" si="3"/>
        <v>1.4619883040936088E-3</v>
      </c>
      <c r="I106" s="14">
        <f t="shared" si="3"/>
        <v>9.486166007905128E-2</v>
      </c>
      <c r="J106" s="14">
        <f t="shared" si="3"/>
        <v>-4.0160642570281624E-3</v>
      </c>
      <c r="K106" s="14">
        <f t="shared" si="3"/>
        <v>1.221640488656206E-2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5">
      <c r="A107" s="12">
        <v>44840</v>
      </c>
      <c r="B107" s="20">
        <v>27000</v>
      </c>
      <c r="C107" s="20">
        <v>34200</v>
      </c>
      <c r="D107" s="20">
        <v>25300</v>
      </c>
      <c r="E107" s="20">
        <v>49800</v>
      </c>
      <c r="F107" s="20">
        <v>57300</v>
      </c>
      <c r="G107" s="14">
        <f t="shared" si="3"/>
        <v>-9.9999999999999978E-2</v>
      </c>
      <c r="H107" s="14">
        <f t="shared" si="3"/>
        <v>-3.1161473087818692E-2</v>
      </c>
      <c r="I107" s="14">
        <f t="shared" si="3"/>
        <v>-9.3189964157706084E-2</v>
      </c>
      <c r="J107" s="14">
        <f t="shared" si="3"/>
        <v>0</v>
      </c>
      <c r="K107" s="14">
        <f t="shared" si="3"/>
        <v>-5.2083333333333703E-3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5">
      <c r="A108" s="12">
        <v>44839</v>
      </c>
      <c r="B108" s="20">
        <v>30000</v>
      </c>
      <c r="C108" s="20">
        <v>35300</v>
      </c>
      <c r="D108" s="20">
        <v>27900</v>
      </c>
      <c r="E108" s="20">
        <v>49800</v>
      </c>
      <c r="F108" s="20">
        <v>57600</v>
      </c>
      <c r="G108" s="14">
        <f t="shared" si="3"/>
        <v>1.0101010101010166E-2</v>
      </c>
      <c r="H108" s="14">
        <f t="shared" si="3"/>
        <v>2.0231213872832443E-2</v>
      </c>
      <c r="I108" s="14">
        <f t="shared" si="3"/>
        <v>-9.7087378640776656E-2</v>
      </c>
      <c r="J108" s="14">
        <f t="shared" si="3"/>
        <v>1.4256619144602745E-2</v>
      </c>
      <c r="K108" s="14">
        <f t="shared" si="3"/>
        <v>-5.1813471502590858E-3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5">
      <c r="A109" s="12">
        <v>44838</v>
      </c>
      <c r="B109" s="20">
        <v>29700</v>
      </c>
      <c r="C109" s="20">
        <v>34600</v>
      </c>
      <c r="D109" s="20">
        <v>30900</v>
      </c>
      <c r="E109" s="20">
        <v>49100</v>
      </c>
      <c r="F109" s="20">
        <v>57900</v>
      </c>
      <c r="G109" s="14">
        <f t="shared" si="3"/>
        <v>0.10000000000000009</v>
      </c>
      <c r="H109" s="14">
        <f t="shared" si="3"/>
        <v>4.5317220543806602E-2</v>
      </c>
      <c r="I109" s="14">
        <f t="shared" si="3"/>
        <v>-3.1347962382445194E-2</v>
      </c>
      <c r="J109" s="14">
        <f t="shared" si="3"/>
        <v>2.2916666666666696E-2</v>
      </c>
      <c r="K109" s="14">
        <f t="shared" si="3"/>
        <v>-1.5306122448979553E-2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5">
      <c r="A110" s="12">
        <v>44837</v>
      </c>
      <c r="B110" s="20">
        <v>27000</v>
      </c>
      <c r="C110" s="20">
        <v>33100</v>
      </c>
      <c r="D110" s="20">
        <v>31900</v>
      </c>
      <c r="E110" s="20">
        <v>48000</v>
      </c>
      <c r="F110" s="20">
        <v>58800</v>
      </c>
      <c r="G110" s="14">
        <f t="shared" si="3"/>
        <v>-1.4598540145985384E-2</v>
      </c>
      <c r="H110" s="14">
        <f t="shared" si="3"/>
        <v>3.4375000000000044E-2</v>
      </c>
      <c r="I110" s="14">
        <f t="shared" si="3"/>
        <v>3.9087947882736174E-2</v>
      </c>
      <c r="J110" s="14">
        <f t="shared" si="3"/>
        <v>1.0427528675704956E-3</v>
      </c>
      <c r="K110" s="14">
        <f t="shared" si="3"/>
        <v>3.7037037037036979E-2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5">
      <c r="A111" s="12">
        <v>44834</v>
      </c>
      <c r="B111" s="20">
        <v>27400</v>
      </c>
      <c r="C111" s="20">
        <v>32000</v>
      </c>
      <c r="D111" s="20">
        <v>30700</v>
      </c>
      <c r="E111" s="20">
        <v>47950</v>
      </c>
      <c r="F111" s="20">
        <v>56700</v>
      </c>
      <c r="G111" s="14">
        <f t="shared" si="3"/>
        <v>3.7878787878787845E-2</v>
      </c>
      <c r="H111" s="14">
        <f t="shared" si="3"/>
        <v>-1.2345679012345734E-2</v>
      </c>
      <c r="I111" s="14">
        <f t="shared" si="3"/>
        <v>3.716216216216206E-2</v>
      </c>
      <c r="J111" s="14">
        <f t="shared" si="3"/>
        <v>-5.1867219917012264E-3</v>
      </c>
      <c r="K111" s="14">
        <f t="shared" si="3"/>
        <v>6.9811320754717077E-2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5">
      <c r="A112" s="12">
        <v>44833</v>
      </c>
      <c r="B112" s="20">
        <v>26400</v>
      </c>
      <c r="C112" s="20">
        <v>32400</v>
      </c>
      <c r="D112" s="20">
        <v>29600</v>
      </c>
      <c r="E112" s="20">
        <v>48200</v>
      </c>
      <c r="F112" s="20">
        <v>53000</v>
      </c>
      <c r="G112" s="14">
        <f t="shared" si="3"/>
        <v>2.3255813953488413E-2</v>
      </c>
      <c r="H112" s="14">
        <f t="shared" si="3"/>
        <v>-1.2195121951219523E-2</v>
      </c>
      <c r="I112" s="14">
        <f t="shared" si="3"/>
        <v>3.4965034965035002E-2</v>
      </c>
      <c r="J112" s="14">
        <f t="shared" si="3"/>
        <v>-8.2304526748970819E-3</v>
      </c>
      <c r="K112" s="14">
        <f t="shared" si="3"/>
        <v>-5.1878354203935606E-2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5">
      <c r="A113" s="12">
        <v>44832</v>
      </c>
      <c r="B113" s="20">
        <v>25800</v>
      </c>
      <c r="C113" s="20">
        <v>32800</v>
      </c>
      <c r="D113" s="20">
        <v>28600</v>
      </c>
      <c r="E113" s="20">
        <v>48600</v>
      </c>
      <c r="F113" s="20">
        <v>55900</v>
      </c>
      <c r="G113" s="14">
        <f t="shared" si="3"/>
        <v>9.7872340425531945E-2</v>
      </c>
      <c r="H113" s="14">
        <f t="shared" si="3"/>
        <v>-1.9431988041853532E-2</v>
      </c>
      <c r="I113" s="14">
        <f t="shared" si="3"/>
        <v>0.10000000000000009</v>
      </c>
      <c r="J113" s="14">
        <f t="shared" si="3"/>
        <v>3.0959752321981782E-3</v>
      </c>
      <c r="K113" s="14">
        <f t="shared" si="3"/>
        <v>-6.0504201680672276E-2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5">
      <c r="A114" s="12">
        <v>44831</v>
      </c>
      <c r="B114" s="20">
        <v>23500</v>
      </c>
      <c r="C114" s="20">
        <v>33450</v>
      </c>
      <c r="D114" s="20">
        <v>26000</v>
      </c>
      <c r="E114" s="20">
        <v>48450</v>
      </c>
      <c r="F114" s="20">
        <v>59500</v>
      </c>
      <c r="G114" s="14">
        <f t="shared" si="3"/>
        <v>6.8181818181818121E-2</v>
      </c>
      <c r="H114" s="14">
        <f t="shared" si="3"/>
        <v>0</v>
      </c>
      <c r="I114" s="14">
        <f t="shared" si="3"/>
        <v>9.704641350210963E-2</v>
      </c>
      <c r="J114" s="14">
        <f t="shared" si="3"/>
        <v>-5.1334702258727383E-3</v>
      </c>
      <c r="K114" s="14">
        <f t="shared" si="3"/>
        <v>1.7094017094017033E-2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5">
      <c r="A115" s="12">
        <v>44830</v>
      </c>
      <c r="B115" s="20">
        <v>22000</v>
      </c>
      <c r="C115" s="20">
        <v>33450</v>
      </c>
      <c r="D115" s="20">
        <v>23700</v>
      </c>
      <c r="E115" s="20">
        <v>48700</v>
      </c>
      <c r="F115" s="20">
        <v>58500</v>
      </c>
      <c r="G115" s="14">
        <f t="shared" si="3"/>
        <v>-2.6548672566371723E-2</v>
      </c>
      <c r="H115" s="14">
        <f t="shared" si="3"/>
        <v>0</v>
      </c>
      <c r="I115" s="14">
        <f t="shared" si="3"/>
        <v>-2.8688524590163911E-2</v>
      </c>
      <c r="J115" s="14">
        <f t="shared" si="3"/>
        <v>-6.1224489795917991E-3</v>
      </c>
      <c r="K115" s="14">
        <f t="shared" si="3"/>
        <v>-3.14569536423841E-2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5">
      <c r="A116" s="12">
        <v>44827</v>
      </c>
      <c r="B116" s="20">
        <v>22600</v>
      </c>
      <c r="C116" s="20">
        <v>33450</v>
      </c>
      <c r="D116" s="20">
        <v>24400</v>
      </c>
      <c r="E116" s="20">
        <v>49000</v>
      </c>
      <c r="F116" s="20">
        <v>60400</v>
      </c>
      <c r="G116" s="14">
        <f t="shared" si="3"/>
        <v>-4.405286343612369E-3</v>
      </c>
      <c r="H116" s="14">
        <f t="shared" si="3"/>
        <v>-1.4925373134327957E-3</v>
      </c>
      <c r="I116" s="14">
        <f t="shared" si="3"/>
        <v>8.2644628099173278E-3</v>
      </c>
      <c r="J116" s="14">
        <f t="shared" si="3"/>
        <v>6.1601642710471527E-3</v>
      </c>
      <c r="K116" s="14">
        <f t="shared" si="3"/>
        <v>-3.3599999999999963E-2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5">
      <c r="A117" s="12">
        <v>44826</v>
      </c>
      <c r="B117" s="20">
        <v>22700</v>
      </c>
      <c r="C117" s="20">
        <v>33500</v>
      </c>
      <c r="D117" s="20">
        <v>24200</v>
      </c>
      <c r="E117" s="20">
        <v>48700</v>
      </c>
      <c r="F117" s="20">
        <v>62500</v>
      </c>
      <c r="G117" s="14">
        <f t="shared" si="3"/>
        <v>3.6529680365296802E-2</v>
      </c>
      <c r="H117" s="14">
        <f t="shared" si="3"/>
        <v>-8.8757396449704595E-3</v>
      </c>
      <c r="I117" s="14">
        <f t="shared" si="3"/>
        <v>6.1403508771929793E-2</v>
      </c>
      <c r="J117" s="14">
        <f t="shared" si="3"/>
        <v>4.1237113402061709E-3</v>
      </c>
      <c r="K117" s="14">
        <f t="shared" si="3"/>
        <v>3.2102728731941976E-3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5">
      <c r="A118" s="12">
        <v>44825</v>
      </c>
      <c r="B118" s="20">
        <v>21900</v>
      </c>
      <c r="C118" s="20">
        <v>33800</v>
      </c>
      <c r="D118" s="20">
        <v>22800</v>
      </c>
      <c r="E118" s="20">
        <v>48500</v>
      </c>
      <c r="F118" s="20">
        <v>62300</v>
      </c>
      <c r="G118" s="14">
        <f t="shared" si="3"/>
        <v>3.7914691943127909E-2</v>
      </c>
      <c r="H118" s="14">
        <f t="shared" si="3"/>
        <v>5.9523809523809312E-3</v>
      </c>
      <c r="I118" s="14">
        <f t="shared" si="3"/>
        <v>8.8495575221239076E-3</v>
      </c>
      <c r="J118" s="14">
        <f t="shared" si="3"/>
        <v>1.8907563025210017E-2</v>
      </c>
      <c r="K118" s="14">
        <f t="shared" si="3"/>
        <v>6.8610634648370583E-2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5">
      <c r="A119" s="12">
        <v>44824</v>
      </c>
      <c r="B119" s="20">
        <v>21100</v>
      </c>
      <c r="C119" s="20">
        <v>33600</v>
      </c>
      <c r="D119" s="20">
        <v>22600</v>
      </c>
      <c r="E119" s="20">
        <v>47600</v>
      </c>
      <c r="F119" s="20">
        <v>58300</v>
      </c>
      <c r="G119" s="14">
        <f t="shared" ref="G119:K169" si="4">B119/B120-1</f>
        <v>1.4423076923076872E-2</v>
      </c>
      <c r="H119" s="14">
        <f t="shared" si="4"/>
        <v>4.6728971962616717E-2</v>
      </c>
      <c r="I119" s="14">
        <f t="shared" si="4"/>
        <v>-4.405286343612369E-3</v>
      </c>
      <c r="J119" s="14">
        <f t="shared" si="4"/>
        <v>2.1052631578948322E-3</v>
      </c>
      <c r="K119" s="14">
        <f t="shared" si="4"/>
        <v>-6.8690095846645316E-2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5">
      <c r="A120" s="12">
        <v>44823</v>
      </c>
      <c r="B120" s="20">
        <v>20800</v>
      </c>
      <c r="C120" s="20">
        <v>32100</v>
      </c>
      <c r="D120" s="20">
        <v>22700</v>
      </c>
      <c r="E120" s="20">
        <v>47500</v>
      </c>
      <c r="F120" s="20">
        <v>62600</v>
      </c>
      <c r="G120" s="14">
        <f t="shared" si="4"/>
        <v>-2.3474178403755874E-2</v>
      </c>
      <c r="H120" s="14">
        <f t="shared" si="4"/>
        <v>-9.2592592592593004E-3</v>
      </c>
      <c r="I120" s="14">
        <f t="shared" si="4"/>
        <v>6.0747663551401931E-2</v>
      </c>
      <c r="J120" s="14">
        <f t="shared" si="4"/>
        <v>6.3559322033899246E-3</v>
      </c>
      <c r="K120" s="14">
        <f t="shared" si="4"/>
        <v>-6.1469265367316339E-2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5">
      <c r="A121" s="12">
        <v>44820</v>
      </c>
      <c r="B121" s="20">
        <v>21300</v>
      </c>
      <c r="C121" s="20">
        <v>32400</v>
      </c>
      <c r="D121" s="20">
        <v>21400</v>
      </c>
      <c r="E121" s="20">
        <v>47200</v>
      </c>
      <c r="F121" s="20">
        <v>66700</v>
      </c>
      <c r="G121" s="14">
        <f t="shared" si="4"/>
        <v>-2.2935779816513735E-2</v>
      </c>
      <c r="H121" s="14">
        <f t="shared" si="4"/>
        <v>0</v>
      </c>
      <c r="I121" s="14">
        <f t="shared" si="4"/>
        <v>2.3923444976076569E-2</v>
      </c>
      <c r="J121" s="14">
        <f t="shared" si="4"/>
        <v>8.5470085470085166E-3</v>
      </c>
      <c r="K121" s="14">
        <f t="shared" si="4"/>
        <v>-6.8435754189944187E-2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5">
      <c r="A122" s="12">
        <v>44819</v>
      </c>
      <c r="B122" s="20">
        <v>21800</v>
      </c>
      <c r="C122" s="20">
        <v>32400</v>
      </c>
      <c r="D122" s="20">
        <v>20900</v>
      </c>
      <c r="E122" s="20">
        <v>46800</v>
      </c>
      <c r="F122" s="20">
        <v>71600</v>
      </c>
      <c r="G122" s="14">
        <f t="shared" si="4"/>
        <v>3.8095238095238182E-2</v>
      </c>
      <c r="H122" s="14">
        <f t="shared" si="4"/>
        <v>0</v>
      </c>
      <c r="I122" s="14">
        <f t="shared" si="4"/>
        <v>-2.3364485981308358E-2</v>
      </c>
      <c r="J122" s="14">
        <f t="shared" si="4"/>
        <v>-4.2553191489361764E-3</v>
      </c>
      <c r="K122" s="14">
        <f t="shared" si="4"/>
        <v>-3.2432432432432434E-2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5">
      <c r="A123" s="12">
        <v>44818</v>
      </c>
      <c r="B123" s="20">
        <v>21000</v>
      </c>
      <c r="C123" s="20">
        <v>32400</v>
      </c>
      <c r="D123" s="20">
        <v>21400</v>
      </c>
      <c r="E123" s="20">
        <v>47000</v>
      </c>
      <c r="F123" s="20">
        <v>74000</v>
      </c>
      <c r="G123" s="14">
        <f t="shared" si="4"/>
        <v>-2.3255813953488413E-2</v>
      </c>
      <c r="H123" s="14">
        <f t="shared" si="4"/>
        <v>1.0920436817472678E-2</v>
      </c>
      <c r="I123" s="14">
        <f t="shared" si="4"/>
        <v>-9.2592592592593004E-3</v>
      </c>
      <c r="J123" s="14">
        <f t="shared" si="4"/>
        <v>-4.237288135593209E-3</v>
      </c>
      <c r="K123" s="14">
        <f t="shared" si="4"/>
        <v>-5.8524173027989845E-2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5">
      <c r="A124" s="12">
        <v>44817</v>
      </c>
      <c r="B124" s="20">
        <v>21500</v>
      </c>
      <c r="C124" s="20">
        <v>32050</v>
      </c>
      <c r="D124" s="20">
        <v>21600</v>
      </c>
      <c r="E124" s="20">
        <v>47200</v>
      </c>
      <c r="F124" s="20">
        <v>78600</v>
      </c>
      <c r="G124" s="14">
        <f t="shared" si="4"/>
        <v>-9.2165898617511122E-3</v>
      </c>
      <c r="H124" s="14">
        <f t="shared" si="4"/>
        <v>1.5624999999999112E-3</v>
      </c>
      <c r="I124" s="14">
        <f t="shared" si="4"/>
        <v>-9.1743119266054496E-3</v>
      </c>
      <c r="J124" s="14">
        <f t="shared" si="4"/>
        <v>-6.3157894736841635E-3</v>
      </c>
      <c r="K124" s="14">
        <f t="shared" si="4"/>
        <v>-1.749999999999996E-2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5">
      <c r="A125" s="12">
        <v>44816</v>
      </c>
      <c r="B125" s="20">
        <v>21700</v>
      </c>
      <c r="C125" s="20">
        <v>32000</v>
      </c>
      <c r="D125" s="20">
        <v>21800</v>
      </c>
      <c r="E125" s="20">
        <v>47500</v>
      </c>
      <c r="F125" s="20">
        <v>80000</v>
      </c>
      <c r="G125" s="14">
        <f t="shared" si="4"/>
        <v>-2.2522522522522515E-2</v>
      </c>
      <c r="H125" s="14">
        <f t="shared" si="4"/>
        <v>0</v>
      </c>
      <c r="I125" s="14">
        <f t="shared" si="4"/>
        <v>-1.3574660633484115E-2</v>
      </c>
      <c r="J125" s="14">
        <f t="shared" si="4"/>
        <v>8.4925690021231404E-3</v>
      </c>
      <c r="K125" s="14">
        <f t="shared" si="4"/>
        <v>2.5062656641603454E-3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5">
      <c r="A126" s="12">
        <v>44813</v>
      </c>
      <c r="B126" s="20">
        <v>22200</v>
      </c>
      <c r="C126" s="20">
        <v>32000</v>
      </c>
      <c r="D126" s="20">
        <v>22100</v>
      </c>
      <c r="E126" s="20">
        <v>47100</v>
      </c>
      <c r="F126" s="20">
        <v>79800</v>
      </c>
      <c r="G126" s="14">
        <f t="shared" si="4"/>
        <v>3.2558139534883734E-2</v>
      </c>
      <c r="H126" s="14">
        <f t="shared" si="4"/>
        <v>2.564102564102555E-2</v>
      </c>
      <c r="I126" s="14">
        <f t="shared" si="4"/>
        <v>1.8433179723502224E-2</v>
      </c>
      <c r="J126" s="14">
        <f t="shared" si="4"/>
        <v>1.5086206896551824E-2</v>
      </c>
      <c r="K126" s="14">
        <f t="shared" si="4"/>
        <v>5.1383399209486091E-2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5">
      <c r="A127" s="12">
        <v>44812</v>
      </c>
      <c r="B127" s="20">
        <v>21500</v>
      </c>
      <c r="C127" s="20">
        <v>31200</v>
      </c>
      <c r="D127" s="20">
        <v>21700</v>
      </c>
      <c r="E127" s="20">
        <v>46400</v>
      </c>
      <c r="F127" s="20">
        <v>75900</v>
      </c>
      <c r="G127" s="14">
        <f t="shared" si="4"/>
        <v>1.4150943396226356E-2</v>
      </c>
      <c r="H127" s="14">
        <f t="shared" si="4"/>
        <v>3.215434083601254E-3</v>
      </c>
      <c r="I127" s="14">
        <f t="shared" si="4"/>
        <v>4.6296296296295392E-3</v>
      </c>
      <c r="J127" s="14">
        <f t="shared" si="4"/>
        <v>1.8660812294182261E-2</v>
      </c>
      <c r="K127" s="14">
        <f t="shared" si="4"/>
        <v>-1.3157894736841591E-3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5">
      <c r="A128" s="12">
        <v>44811</v>
      </c>
      <c r="B128" s="20">
        <v>21200</v>
      </c>
      <c r="C128" s="20">
        <v>31100</v>
      </c>
      <c r="D128" s="20">
        <v>21600</v>
      </c>
      <c r="E128" s="20">
        <v>45550</v>
      </c>
      <c r="F128" s="20">
        <v>76000</v>
      </c>
      <c r="G128" s="14">
        <f t="shared" si="4"/>
        <v>2.9126213592232997E-2</v>
      </c>
      <c r="H128" s="14">
        <f t="shared" si="4"/>
        <v>0</v>
      </c>
      <c r="I128" s="14">
        <f t="shared" si="4"/>
        <v>4.8543689320388328E-2</v>
      </c>
      <c r="J128" s="14">
        <f t="shared" si="4"/>
        <v>-2.1905805038334725E-3</v>
      </c>
      <c r="K128" s="14">
        <f t="shared" si="4"/>
        <v>6.6225165562914245E-3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5">
      <c r="A129" s="12">
        <v>44810</v>
      </c>
      <c r="B129" s="20">
        <v>20600</v>
      </c>
      <c r="C129" s="20">
        <v>31100</v>
      </c>
      <c r="D129" s="20">
        <v>20600</v>
      </c>
      <c r="E129" s="20">
        <v>45650</v>
      </c>
      <c r="F129" s="20">
        <v>75500</v>
      </c>
      <c r="G129" s="14">
        <f t="shared" si="4"/>
        <v>-2.3696682464454999E-2</v>
      </c>
      <c r="H129" s="14">
        <f t="shared" si="4"/>
        <v>-1.1128775834658211E-2</v>
      </c>
      <c r="I129" s="14">
        <f t="shared" si="4"/>
        <v>-2.3696682464454999E-2</v>
      </c>
      <c r="J129" s="14">
        <f t="shared" si="4"/>
        <v>0</v>
      </c>
      <c r="K129" s="14">
        <f t="shared" si="4"/>
        <v>-1.0484927916120546E-2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5">
      <c r="A130" s="12">
        <v>44809</v>
      </c>
      <c r="B130" s="20">
        <v>21100</v>
      </c>
      <c r="C130" s="20">
        <v>31450</v>
      </c>
      <c r="D130" s="20">
        <v>21100</v>
      </c>
      <c r="E130" s="20">
        <v>45650</v>
      </c>
      <c r="F130" s="20">
        <v>76300</v>
      </c>
      <c r="G130" s="14">
        <f t="shared" si="4"/>
        <v>-2.314814814814814E-2</v>
      </c>
      <c r="H130" s="14">
        <f t="shared" si="4"/>
        <v>0</v>
      </c>
      <c r="I130" s="14">
        <f t="shared" si="4"/>
        <v>-4.7169811320755262E-3</v>
      </c>
      <c r="J130" s="14">
        <f t="shared" si="4"/>
        <v>1.0964912280702066E-3</v>
      </c>
      <c r="K130" s="14">
        <f t="shared" si="4"/>
        <v>-2.1794871794871828E-2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5">
      <c r="A131" s="12">
        <v>44804</v>
      </c>
      <c r="B131" s="20">
        <v>21600</v>
      </c>
      <c r="C131" s="20">
        <v>31450</v>
      </c>
      <c r="D131" s="20">
        <v>21200</v>
      </c>
      <c r="E131" s="20">
        <v>45600</v>
      </c>
      <c r="F131" s="20">
        <v>78000</v>
      </c>
      <c r="G131" s="14">
        <f t="shared" si="4"/>
        <v>9.6446700507614169E-2</v>
      </c>
      <c r="H131" s="14">
        <f t="shared" si="4"/>
        <v>9.6308186195825929E-3</v>
      </c>
      <c r="I131" s="14">
        <f t="shared" si="4"/>
        <v>3.9215686274509887E-2</v>
      </c>
      <c r="J131" s="14">
        <f t="shared" si="4"/>
        <v>1.4460511679644128E-2</v>
      </c>
      <c r="K131" s="14">
        <f t="shared" si="4"/>
        <v>-1.3906447534766109E-2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5">
      <c r="A132" s="12">
        <v>44803</v>
      </c>
      <c r="B132" s="20">
        <v>19700</v>
      </c>
      <c r="C132" s="20">
        <v>31150</v>
      </c>
      <c r="D132" s="20">
        <v>20400</v>
      </c>
      <c r="E132" s="20">
        <v>44950</v>
      </c>
      <c r="F132" s="20">
        <v>79100</v>
      </c>
      <c r="G132" s="14">
        <f t="shared" si="4"/>
        <v>-1.9900497512437831E-2</v>
      </c>
      <c r="H132" s="14">
        <f t="shared" si="4"/>
        <v>-1.4240506329113889E-2</v>
      </c>
      <c r="I132" s="14">
        <f t="shared" si="4"/>
        <v>-1.9230769230769273E-2</v>
      </c>
      <c r="J132" s="14">
        <f t="shared" si="4"/>
        <v>1.2387387387387427E-2</v>
      </c>
      <c r="K132" s="14">
        <f t="shared" si="4"/>
        <v>6.8918918918918992E-2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5">
      <c r="A133" s="12">
        <v>44802</v>
      </c>
      <c r="B133" s="20">
        <v>20100</v>
      </c>
      <c r="C133" s="20">
        <v>31600</v>
      </c>
      <c r="D133" s="20">
        <v>20800</v>
      </c>
      <c r="E133" s="20">
        <v>44400</v>
      </c>
      <c r="F133" s="20">
        <v>74000</v>
      </c>
      <c r="G133" s="14">
        <f t="shared" si="4"/>
        <v>1.0050251256281451E-2</v>
      </c>
      <c r="H133" s="14">
        <f t="shared" si="4"/>
        <v>1.9354838709677358E-2</v>
      </c>
      <c r="I133" s="14">
        <f t="shared" si="4"/>
        <v>4.8309178743961567E-3</v>
      </c>
      <c r="J133" s="14">
        <f t="shared" si="4"/>
        <v>-4.484304932735439E-3</v>
      </c>
      <c r="K133" s="14">
        <f t="shared" si="4"/>
        <v>2.7777777777777679E-2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5">
      <c r="A134" s="12">
        <v>44799</v>
      </c>
      <c r="B134" s="20">
        <v>19900</v>
      </c>
      <c r="C134" s="20">
        <v>31000</v>
      </c>
      <c r="D134" s="20">
        <v>20700</v>
      </c>
      <c r="E134" s="20">
        <v>44600</v>
      </c>
      <c r="F134" s="20">
        <v>72000</v>
      </c>
      <c r="G134" s="14">
        <f t="shared" si="4"/>
        <v>2.5773195876288568E-2</v>
      </c>
      <c r="H134" s="14">
        <f t="shared" si="4"/>
        <v>2.3102310231023049E-2</v>
      </c>
      <c r="I134" s="14">
        <f t="shared" si="4"/>
        <v>3.499999999999992E-2</v>
      </c>
      <c r="J134" s="14">
        <f t="shared" si="4"/>
        <v>4.5045045045044585E-3</v>
      </c>
      <c r="K134" s="14">
        <f t="shared" si="4"/>
        <v>1.3908205841446364E-3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5">
      <c r="A135" s="12">
        <v>44798</v>
      </c>
      <c r="B135" s="20">
        <v>19400</v>
      </c>
      <c r="C135" s="20">
        <v>30300</v>
      </c>
      <c r="D135" s="20">
        <v>20000</v>
      </c>
      <c r="E135" s="20">
        <v>44400</v>
      </c>
      <c r="F135" s="20">
        <v>71900</v>
      </c>
      <c r="G135" s="14">
        <f t="shared" si="4"/>
        <v>0</v>
      </c>
      <c r="H135" s="14">
        <f t="shared" si="4"/>
        <v>-1.9417475728155331E-2</v>
      </c>
      <c r="I135" s="14">
        <f t="shared" si="4"/>
        <v>-1.4778325123152691E-2</v>
      </c>
      <c r="J135" s="14">
        <f t="shared" si="4"/>
        <v>9.0909090909090384E-3</v>
      </c>
      <c r="K135" s="14">
        <f t="shared" si="4"/>
        <v>1.9858156028368823E-2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5">
      <c r="A136" s="12">
        <v>44797</v>
      </c>
      <c r="B136" s="20">
        <v>19400</v>
      </c>
      <c r="C136" s="20">
        <v>30900</v>
      </c>
      <c r="D136" s="20">
        <v>20300</v>
      </c>
      <c r="E136" s="20">
        <v>44000</v>
      </c>
      <c r="F136" s="20">
        <v>70500</v>
      </c>
      <c r="G136" s="14">
        <f t="shared" si="4"/>
        <v>-8.4905660377358472E-2</v>
      </c>
      <c r="H136" s="14">
        <f t="shared" si="4"/>
        <v>-3.4375000000000044E-2</v>
      </c>
      <c r="I136" s="14">
        <f t="shared" si="4"/>
        <v>-5.1401869158878455E-2</v>
      </c>
      <c r="J136" s="14">
        <f t="shared" si="4"/>
        <v>-1.7857142857142905E-2</v>
      </c>
      <c r="K136" s="14">
        <f t="shared" si="4"/>
        <v>-2.7586206896551779E-2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5">
      <c r="A137" s="12">
        <v>44796</v>
      </c>
      <c r="B137" s="20">
        <v>21200</v>
      </c>
      <c r="C137" s="20">
        <v>32000</v>
      </c>
      <c r="D137" s="20">
        <v>21400</v>
      </c>
      <c r="E137" s="20">
        <v>44800</v>
      </c>
      <c r="F137" s="20">
        <v>72500</v>
      </c>
      <c r="G137" s="14">
        <f t="shared" si="4"/>
        <v>1.4354066985645897E-2</v>
      </c>
      <c r="H137" s="14">
        <f t="shared" si="4"/>
        <v>0</v>
      </c>
      <c r="I137" s="14">
        <f t="shared" si="4"/>
        <v>1.904761904761898E-2</v>
      </c>
      <c r="J137" s="14">
        <f t="shared" si="4"/>
        <v>6.741573033707926E-3</v>
      </c>
      <c r="K137" s="14">
        <f t="shared" si="4"/>
        <v>1.9690576652601877E-2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5">
      <c r="A138" s="12">
        <v>44795</v>
      </c>
      <c r="B138" s="20">
        <v>20900</v>
      </c>
      <c r="C138" s="20">
        <v>32000</v>
      </c>
      <c r="D138" s="20">
        <v>21000</v>
      </c>
      <c r="E138" s="20">
        <v>44500</v>
      </c>
      <c r="F138" s="20">
        <v>71100</v>
      </c>
      <c r="G138" s="14">
        <f t="shared" si="4"/>
        <v>-9.9137931034482762E-2</v>
      </c>
      <c r="H138" s="14">
        <f t="shared" si="4"/>
        <v>-4.1916167664670656E-2</v>
      </c>
      <c r="I138" s="14">
        <f t="shared" si="4"/>
        <v>-6.6666666666666652E-2</v>
      </c>
      <c r="J138" s="14">
        <f t="shared" si="4"/>
        <v>1.5981735159817267E-2</v>
      </c>
      <c r="K138" s="14">
        <f t="shared" si="4"/>
        <v>-1.2499999999999956E-2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5">
      <c r="A139" s="12">
        <v>44792</v>
      </c>
      <c r="B139" s="20">
        <v>23200</v>
      </c>
      <c r="C139" s="20">
        <v>33400</v>
      </c>
      <c r="D139" s="20">
        <v>22500</v>
      </c>
      <c r="E139" s="20">
        <v>43800</v>
      </c>
      <c r="F139" s="20">
        <v>72000</v>
      </c>
      <c r="G139" s="14">
        <f t="shared" si="4"/>
        <v>-4.2918454935622075E-3</v>
      </c>
      <c r="H139" s="14">
        <f t="shared" si="4"/>
        <v>7.541478129713397E-3</v>
      </c>
      <c r="I139" s="14">
        <f t="shared" si="4"/>
        <v>-3.0172413793103425E-2</v>
      </c>
      <c r="J139" s="14">
        <f t="shared" si="4"/>
        <v>1.1547344110854452E-2</v>
      </c>
      <c r="K139" s="14">
        <f t="shared" si="4"/>
        <v>-2.7027027027026973E-2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5">
      <c r="A140" s="12">
        <v>44791</v>
      </c>
      <c r="B140" s="20">
        <v>23300</v>
      </c>
      <c r="C140" s="20">
        <v>33150</v>
      </c>
      <c r="D140" s="20">
        <v>23200</v>
      </c>
      <c r="E140" s="20">
        <v>43300</v>
      </c>
      <c r="F140" s="20">
        <v>74000</v>
      </c>
      <c r="G140" s="14">
        <f t="shared" si="4"/>
        <v>-4.2735042735042583E-3</v>
      </c>
      <c r="H140" s="14">
        <f t="shared" si="4"/>
        <v>-1.0447761194029903E-2</v>
      </c>
      <c r="I140" s="14">
        <f t="shared" si="4"/>
        <v>2.2026431718061623E-2</v>
      </c>
      <c r="J140" s="14">
        <f t="shared" si="4"/>
        <v>5.807200929152101E-3</v>
      </c>
      <c r="K140" s="14">
        <f t="shared" si="4"/>
        <v>3.6414565826330625E-2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35">
      <c r="A141" s="12">
        <v>44790</v>
      </c>
      <c r="B141" s="20">
        <v>23400</v>
      </c>
      <c r="C141" s="20">
        <v>33500</v>
      </c>
      <c r="D141" s="20">
        <v>22700</v>
      </c>
      <c r="E141" s="20">
        <v>43050</v>
      </c>
      <c r="F141" s="20">
        <v>71400</v>
      </c>
      <c r="G141" s="14">
        <f t="shared" si="4"/>
        <v>-8.4745762711864181E-3</v>
      </c>
      <c r="H141" s="14">
        <f t="shared" si="4"/>
        <v>-1.9033674963396807E-2</v>
      </c>
      <c r="I141" s="14">
        <f t="shared" si="4"/>
        <v>-2.9914529914529919E-2</v>
      </c>
      <c r="J141" s="14">
        <f t="shared" si="4"/>
        <v>-2.317497103128674E-3</v>
      </c>
      <c r="K141" s="14">
        <f t="shared" si="4"/>
        <v>-8.3333333333333037E-3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35">
      <c r="A142" s="12">
        <v>44789</v>
      </c>
      <c r="B142" s="20">
        <v>23600</v>
      </c>
      <c r="C142" s="20">
        <v>34150</v>
      </c>
      <c r="D142" s="20">
        <v>23400</v>
      </c>
      <c r="E142" s="20">
        <v>43150</v>
      </c>
      <c r="F142" s="20">
        <v>72000</v>
      </c>
      <c r="G142" s="14">
        <f t="shared" si="4"/>
        <v>0</v>
      </c>
      <c r="H142" s="14">
        <f t="shared" si="4"/>
        <v>-1.0144927536231862E-2</v>
      </c>
      <c r="I142" s="14">
        <f t="shared" si="4"/>
        <v>-3.703703703703709E-2</v>
      </c>
      <c r="J142" s="14">
        <f t="shared" si="4"/>
        <v>1.5294117647058902E-2</v>
      </c>
      <c r="K142" s="14">
        <f t="shared" si="4"/>
        <v>-1.6393442622950838E-2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5">
      <c r="A143" s="12">
        <v>44788</v>
      </c>
      <c r="B143" s="20">
        <v>23600</v>
      </c>
      <c r="C143" s="20">
        <v>34500</v>
      </c>
      <c r="D143" s="20">
        <v>24300</v>
      </c>
      <c r="E143" s="20">
        <v>42500</v>
      </c>
      <c r="F143" s="20">
        <v>73200</v>
      </c>
      <c r="G143" s="14">
        <f t="shared" si="4"/>
        <v>2.1645021645021689E-2</v>
      </c>
      <c r="H143" s="14">
        <f t="shared" si="4"/>
        <v>0</v>
      </c>
      <c r="I143" s="14">
        <f t="shared" si="4"/>
        <v>0</v>
      </c>
      <c r="J143" s="14">
        <f t="shared" si="4"/>
        <v>1.7964071856287456E-2</v>
      </c>
      <c r="K143" s="14">
        <f t="shared" si="4"/>
        <v>2.2346368715083775E-2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5">
      <c r="A144" s="12">
        <v>44785</v>
      </c>
      <c r="B144" s="20">
        <v>23100</v>
      </c>
      <c r="C144" s="20">
        <v>34500</v>
      </c>
      <c r="D144" s="20">
        <v>24300</v>
      </c>
      <c r="E144" s="20">
        <v>41750</v>
      </c>
      <c r="F144" s="20">
        <v>71600</v>
      </c>
      <c r="G144" s="14">
        <f t="shared" si="4"/>
        <v>-2.1186440677966156E-2</v>
      </c>
      <c r="H144" s="14">
        <f t="shared" si="4"/>
        <v>-1.4285714285714235E-2</v>
      </c>
      <c r="I144" s="14">
        <f t="shared" si="4"/>
        <v>-4.705882352941182E-2</v>
      </c>
      <c r="J144" s="14">
        <f t="shared" si="4"/>
        <v>-1.1961722488038617E-3</v>
      </c>
      <c r="K144" s="14">
        <f t="shared" si="4"/>
        <v>-2.5850340136054473E-2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5">
      <c r="A145" s="12">
        <v>44784</v>
      </c>
      <c r="B145" s="20">
        <v>23600</v>
      </c>
      <c r="C145" s="20">
        <v>35000</v>
      </c>
      <c r="D145" s="20">
        <v>25500</v>
      </c>
      <c r="E145" s="20">
        <v>41800</v>
      </c>
      <c r="F145" s="20">
        <v>73500</v>
      </c>
      <c r="G145" s="14">
        <f t="shared" si="4"/>
        <v>-8.4033613445377853E-3</v>
      </c>
      <c r="H145" s="14">
        <f t="shared" si="4"/>
        <v>-9.9009900990099098E-3</v>
      </c>
      <c r="I145" s="14">
        <f t="shared" si="4"/>
        <v>3.937007874015741E-3</v>
      </c>
      <c r="J145" s="14">
        <f t="shared" si="4"/>
        <v>0</v>
      </c>
      <c r="K145" s="14">
        <f t="shared" si="4"/>
        <v>-1.0767160161507361E-2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35">
      <c r="A146" s="12">
        <v>44783</v>
      </c>
      <c r="B146" s="20">
        <v>23800</v>
      </c>
      <c r="C146" s="20">
        <v>35350</v>
      </c>
      <c r="D146" s="20">
        <v>25400</v>
      </c>
      <c r="E146" s="20">
        <v>41800</v>
      </c>
      <c r="F146" s="20">
        <v>74300</v>
      </c>
      <c r="G146" s="14">
        <f t="shared" si="4"/>
        <v>-8.3333333333333037E-3</v>
      </c>
      <c r="H146" s="14">
        <f t="shared" si="4"/>
        <v>-4.2253521126760507E-3</v>
      </c>
      <c r="I146" s="14">
        <f t="shared" si="4"/>
        <v>3.9525691699604515E-3</v>
      </c>
      <c r="J146" s="14">
        <f t="shared" si="4"/>
        <v>-8.3036773428232236E-3</v>
      </c>
      <c r="K146" s="14">
        <f t="shared" si="4"/>
        <v>-1.3440860215053752E-3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5">
      <c r="A147" s="12">
        <v>44782</v>
      </c>
      <c r="B147" s="20">
        <v>24000</v>
      </c>
      <c r="C147" s="20">
        <v>35500</v>
      </c>
      <c r="D147" s="20">
        <v>25300</v>
      </c>
      <c r="E147" s="20">
        <v>42150</v>
      </c>
      <c r="F147" s="20">
        <v>74400</v>
      </c>
      <c r="G147" s="14">
        <f t="shared" si="4"/>
        <v>0</v>
      </c>
      <c r="H147" s="14">
        <f t="shared" si="4"/>
        <v>7.0921985815601829E-3</v>
      </c>
      <c r="I147" s="14">
        <f t="shared" si="4"/>
        <v>1.2000000000000011E-2</v>
      </c>
      <c r="J147" s="14">
        <f t="shared" si="4"/>
        <v>1.200480192076836E-2</v>
      </c>
      <c r="K147" s="14">
        <f t="shared" si="4"/>
        <v>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5">
      <c r="A148" s="12">
        <v>44781</v>
      </c>
      <c r="B148" s="20">
        <v>24000</v>
      </c>
      <c r="C148" s="20">
        <v>35250</v>
      </c>
      <c r="D148" s="20">
        <v>25000</v>
      </c>
      <c r="E148" s="20">
        <v>41650</v>
      </c>
      <c r="F148" s="20">
        <v>74400</v>
      </c>
      <c r="G148" s="14">
        <f t="shared" si="4"/>
        <v>-1.2345679012345734E-2</v>
      </c>
      <c r="H148" s="14">
        <f t="shared" si="4"/>
        <v>1.4204545454545858E-3</v>
      </c>
      <c r="I148" s="14">
        <f t="shared" si="4"/>
        <v>2.8806584362139898E-2</v>
      </c>
      <c r="J148" s="14">
        <f t="shared" si="4"/>
        <v>-1.1990407673860837E-3</v>
      </c>
      <c r="K148" s="14">
        <f t="shared" si="4"/>
        <v>2.6206896551724146E-2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5">
      <c r="A149" s="12">
        <v>44778</v>
      </c>
      <c r="B149" s="20">
        <v>24300</v>
      </c>
      <c r="C149" s="20">
        <v>35200</v>
      </c>
      <c r="D149" s="20">
        <v>24300</v>
      </c>
      <c r="E149" s="20">
        <v>41700</v>
      </c>
      <c r="F149" s="20">
        <v>72500</v>
      </c>
      <c r="G149" s="14">
        <f t="shared" si="4"/>
        <v>3.8461538461538547E-2</v>
      </c>
      <c r="H149" s="14">
        <f t="shared" si="4"/>
        <v>0</v>
      </c>
      <c r="I149" s="14">
        <f t="shared" si="4"/>
        <v>-1.619433198380571E-2</v>
      </c>
      <c r="J149" s="14">
        <f t="shared" si="4"/>
        <v>-4.7732696897374582E-3</v>
      </c>
      <c r="K149" s="14">
        <f t="shared" si="4"/>
        <v>-1.2261580381471404E-2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5">
      <c r="A150" s="12">
        <v>44777</v>
      </c>
      <c r="B150" s="20">
        <v>23400</v>
      </c>
      <c r="C150" s="20">
        <v>35200</v>
      </c>
      <c r="D150" s="20">
        <v>24700</v>
      </c>
      <c r="E150" s="20">
        <v>41900</v>
      </c>
      <c r="F150" s="20">
        <v>73400</v>
      </c>
      <c r="G150" s="14">
        <f t="shared" si="4"/>
        <v>-8.4745762711864181E-3</v>
      </c>
      <c r="H150" s="14">
        <f t="shared" si="4"/>
        <v>-3.5616438356164348E-2</v>
      </c>
      <c r="I150" s="14">
        <f t="shared" si="4"/>
        <v>1.2295081967213184E-2</v>
      </c>
      <c r="J150" s="14">
        <f t="shared" si="4"/>
        <v>-5.9311981020165883E-3</v>
      </c>
      <c r="K150" s="14">
        <f t="shared" si="4"/>
        <v>-1.0781671159029615E-2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5">
      <c r="A151" s="12">
        <v>44776</v>
      </c>
      <c r="B151" s="20">
        <v>23600</v>
      </c>
      <c r="C151" s="20">
        <v>36500</v>
      </c>
      <c r="D151" s="20">
        <v>24400</v>
      </c>
      <c r="E151" s="20">
        <v>42150</v>
      </c>
      <c r="F151" s="20">
        <v>74200</v>
      </c>
      <c r="G151" s="14">
        <f t="shared" si="4"/>
        <v>-4.2194092827003704E-3</v>
      </c>
      <c r="H151" s="14">
        <f t="shared" si="4"/>
        <v>-4.0927694406548421E-3</v>
      </c>
      <c r="I151" s="14">
        <f t="shared" si="4"/>
        <v>4.115226337448652E-3</v>
      </c>
      <c r="J151" s="14">
        <f t="shared" si="4"/>
        <v>-7.0671378091873294E-3</v>
      </c>
      <c r="K151" s="14">
        <f t="shared" si="4"/>
        <v>1.6438356164383494E-2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5">
      <c r="A152" s="12">
        <v>44775</v>
      </c>
      <c r="B152" s="20">
        <v>23700</v>
      </c>
      <c r="C152" s="20">
        <v>36650</v>
      </c>
      <c r="D152" s="20">
        <v>24300</v>
      </c>
      <c r="E152" s="20">
        <v>42450</v>
      </c>
      <c r="F152" s="20">
        <v>73000</v>
      </c>
      <c r="G152" s="14">
        <f t="shared" si="4"/>
        <v>3.0434782608695699E-2</v>
      </c>
      <c r="H152" s="14">
        <f t="shared" si="4"/>
        <v>3.6775106082036713E-2</v>
      </c>
      <c r="I152" s="14">
        <f t="shared" si="4"/>
        <v>8.4821428571428603E-2</v>
      </c>
      <c r="J152" s="14">
        <f t="shared" si="4"/>
        <v>7.1174377224199059E-3</v>
      </c>
      <c r="K152" s="14">
        <f t="shared" si="4"/>
        <v>1.6713091922005541E-2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5">
      <c r="A153" s="12">
        <v>44774</v>
      </c>
      <c r="B153" s="20">
        <v>23000</v>
      </c>
      <c r="C153" s="20">
        <v>35350</v>
      </c>
      <c r="D153" s="20">
        <v>22400</v>
      </c>
      <c r="E153" s="20">
        <v>42150</v>
      </c>
      <c r="F153" s="20">
        <v>71800</v>
      </c>
      <c r="G153" s="14">
        <f t="shared" si="4"/>
        <v>8.7719298245614308E-3</v>
      </c>
      <c r="H153" s="14">
        <f t="shared" si="4"/>
        <v>-4.2253521126760507E-3</v>
      </c>
      <c r="I153" s="14">
        <f t="shared" si="4"/>
        <v>0</v>
      </c>
      <c r="J153" s="14">
        <f t="shared" si="4"/>
        <v>2.0581113801452888E-2</v>
      </c>
      <c r="K153" s="14">
        <f t="shared" si="4"/>
        <v>-4.1608876560332853E-3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5">
      <c r="A154" s="12">
        <v>44771</v>
      </c>
      <c r="B154" s="20">
        <v>22800</v>
      </c>
      <c r="C154" s="20">
        <v>35500</v>
      </c>
      <c r="D154" s="20">
        <v>22400</v>
      </c>
      <c r="E154" s="20">
        <v>41300</v>
      </c>
      <c r="F154" s="20">
        <v>72100</v>
      </c>
      <c r="G154" s="14">
        <f t="shared" si="4"/>
        <v>1.3333333333333419E-2</v>
      </c>
      <c r="H154" s="14">
        <f t="shared" si="4"/>
        <v>-2.8089887640448952E-3</v>
      </c>
      <c r="I154" s="14">
        <f t="shared" si="4"/>
        <v>9.009009009008917E-3</v>
      </c>
      <c r="J154" s="14">
        <f t="shared" si="4"/>
        <v>2.7363184079602032E-2</v>
      </c>
      <c r="K154" s="14">
        <f t="shared" si="4"/>
        <v>-6.8870523415978102E-3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5">
      <c r="A155" s="12">
        <v>44770</v>
      </c>
      <c r="B155" s="20">
        <v>22500</v>
      </c>
      <c r="C155" s="20">
        <v>35600</v>
      </c>
      <c r="D155" s="20">
        <v>22200</v>
      </c>
      <c r="E155" s="20">
        <v>40200</v>
      </c>
      <c r="F155" s="20">
        <v>72600</v>
      </c>
      <c r="G155" s="14">
        <f t="shared" si="4"/>
        <v>-8.8105726872246271E-3</v>
      </c>
      <c r="H155" s="14">
        <f t="shared" si="4"/>
        <v>1.4245014245014342E-2</v>
      </c>
      <c r="I155" s="14">
        <f t="shared" si="4"/>
        <v>9.0909090909090384E-3</v>
      </c>
      <c r="J155" s="14">
        <f t="shared" si="4"/>
        <v>2.4937655860348684E-3</v>
      </c>
      <c r="K155" s="14">
        <f t="shared" si="4"/>
        <v>5.2173913043478182E-2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5">
      <c r="A156" s="12">
        <v>44769</v>
      </c>
      <c r="B156" s="20">
        <v>22700</v>
      </c>
      <c r="C156" s="20">
        <v>35100</v>
      </c>
      <c r="D156" s="20">
        <v>22000</v>
      </c>
      <c r="E156" s="20">
        <v>40100</v>
      </c>
      <c r="F156" s="20">
        <v>69000</v>
      </c>
      <c r="G156" s="14">
        <f t="shared" si="4"/>
        <v>2.2522522522522515E-2</v>
      </c>
      <c r="H156" s="14">
        <f t="shared" si="4"/>
        <v>1.591895803183796E-2</v>
      </c>
      <c r="I156" s="14">
        <f t="shared" si="4"/>
        <v>2.8037383177569986E-2</v>
      </c>
      <c r="J156" s="14">
        <f t="shared" si="4"/>
        <v>-7.4257425742574323E-3</v>
      </c>
      <c r="K156" s="14">
        <f t="shared" si="4"/>
        <v>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5">
      <c r="A157" s="12">
        <v>44768</v>
      </c>
      <c r="B157" s="20">
        <v>22200</v>
      </c>
      <c r="C157" s="20">
        <v>34550</v>
      </c>
      <c r="D157" s="20">
        <v>21400</v>
      </c>
      <c r="E157" s="20">
        <v>40400</v>
      </c>
      <c r="F157" s="20">
        <v>69000</v>
      </c>
      <c r="G157" s="14">
        <f t="shared" si="4"/>
        <v>-2.2026431718061623E-2</v>
      </c>
      <c r="H157" s="14">
        <f t="shared" si="4"/>
        <v>4.3604651162789665E-3</v>
      </c>
      <c r="I157" s="14">
        <f t="shared" si="4"/>
        <v>-4.6511627906976605E-3</v>
      </c>
      <c r="J157" s="14">
        <f t="shared" si="4"/>
        <v>4.9751243781095411E-3</v>
      </c>
      <c r="K157" s="14">
        <f t="shared" si="4"/>
        <v>1.024890190336758E-2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5">
      <c r="A158" s="12">
        <v>44767</v>
      </c>
      <c r="B158" s="20">
        <v>22700</v>
      </c>
      <c r="C158" s="20">
        <v>34400</v>
      </c>
      <c r="D158" s="20">
        <v>21500</v>
      </c>
      <c r="E158" s="20">
        <v>40200</v>
      </c>
      <c r="F158" s="20">
        <v>68300</v>
      </c>
      <c r="G158" s="14">
        <f t="shared" si="4"/>
        <v>-2.9914529914529919E-2</v>
      </c>
      <c r="H158" s="14">
        <f t="shared" si="4"/>
        <v>-4.9723756906077332E-2</v>
      </c>
      <c r="I158" s="14">
        <f t="shared" si="4"/>
        <v>-3.5874439461883401E-2</v>
      </c>
      <c r="J158" s="14">
        <f t="shared" si="4"/>
        <v>-4.9504950495049549E-3</v>
      </c>
      <c r="K158" s="14">
        <f t="shared" si="4"/>
        <v>-7.2674418604651292E-3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5">
      <c r="A159" s="12">
        <v>44764</v>
      </c>
      <c r="B159" s="20">
        <v>23400</v>
      </c>
      <c r="C159" s="20">
        <v>36200</v>
      </c>
      <c r="D159" s="20">
        <v>22300</v>
      </c>
      <c r="E159" s="20">
        <v>40400</v>
      </c>
      <c r="F159" s="20">
        <v>68800</v>
      </c>
      <c r="G159" s="14">
        <f t="shared" si="4"/>
        <v>-1.6806722689075682E-2</v>
      </c>
      <c r="H159" s="14">
        <f t="shared" si="4"/>
        <v>4.1608876560332853E-3</v>
      </c>
      <c r="I159" s="14">
        <f t="shared" si="4"/>
        <v>-2.6200873362445365E-2</v>
      </c>
      <c r="J159" s="14">
        <f t="shared" si="4"/>
        <v>7.4812967581048273E-3</v>
      </c>
      <c r="K159" s="14">
        <f t="shared" si="4"/>
        <v>-7.2150072150072297E-3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5">
      <c r="A160" s="12">
        <v>44763</v>
      </c>
      <c r="B160" s="20">
        <v>23800</v>
      </c>
      <c r="C160" s="20">
        <v>36050</v>
      </c>
      <c r="D160" s="20">
        <v>22900</v>
      </c>
      <c r="E160" s="20">
        <v>40100</v>
      </c>
      <c r="F160" s="20">
        <v>69300</v>
      </c>
      <c r="G160" s="14">
        <f t="shared" si="4"/>
        <v>-4.1841004184099972E-3</v>
      </c>
      <c r="H160" s="14">
        <f t="shared" si="4"/>
        <v>-9.6153846153845812E-3</v>
      </c>
      <c r="I160" s="14">
        <f t="shared" si="4"/>
        <v>-1.2931034482758674E-2</v>
      </c>
      <c r="J160" s="14">
        <f t="shared" si="4"/>
        <v>3.084832904884327E-2</v>
      </c>
      <c r="K160" s="14">
        <f t="shared" si="4"/>
        <v>-1.1412268188302432E-2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5">
      <c r="A161" s="12">
        <v>44762</v>
      </c>
      <c r="B161" s="20">
        <v>23900</v>
      </c>
      <c r="C161" s="20">
        <v>36400</v>
      </c>
      <c r="D161" s="20">
        <v>23200</v>
      </c>
      <c r="E161" s="20">
        <v>38900</v>
      </c>
      <c r="F161" s="20">
        <v>70100</v>
      </c>
      <c r="G161" s="14">
        <f t="shared" si="4"/>
        <v>-1.2396694214875992E-2</v>
      </c>
      <c r="H161" s="14">
        <f t="shared" si="4"/>
        <v>-1.6216216216216162E-2</v>
      </c>
      <c r="I161" s="14">
        <f t="shared" si="4"/>
        <v>-8.5470085470085166E-3</v>
      </c>
      <c r="J161" s="14">
        <f t="shared" si="4"/>
        <v>-2.564102564102555E-3</v>
      </c>
      <c r="K161" s="14">
        <f t="shared" si="4"/>
        <v>-1.8207282913165312E-2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5">
      <c r="A162" s="12">
        <v>44761</v>
      </c>
      <c r="B162" s="20">
        <v>24200</v>
      </c>
      <c r="C162" s="20">
        <v>37000</v>
      </c>
      <c r="D162" s="20">
        <v>23400</v>
      </c>
      <c r="E162" s="20">
        <v>39000</v>
      </c>
      <c r="F162" s="20">
        <v>71400</v>
      </c>
      <c r="G162" s="14">
        <f t="shared" si="4"/>
        <v>-1.6260162601625994E-2</v>
      </c>
      <c r="H162" s="14">
        <f t="shared" si="4"/>
        <v>-9.3708165997322679E-3</v>
      </c>
      <c r="I162" s="14">
        <f t="shared" si="4"/>
        <v>2.1834061135371119E-2</v>
      </c>
      <c r="J162" s="14">
        <f t="shared" si="4"/>
        <v>2.5706940874035134E-3</v>
      </c>
      <c r="K162" s="14">
        <f t="shared" si="4"/>
        <v>-1.1080332409972304E-2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5">
      <c r="A163" s="12">
        <v>44760</v>
      </c>
      <c r="B163" s="20">
        <v>24600</v>
      </c>
      <c r="C163" s="20">
        <v>37350</v>
      </c>
      <c r="D163" s="20">
        <v>22900</v>
      </c>
      <c r="E163" s="20">
        <v>38900</v>
      </c>
      <c r="F163" s="20">
        <v>72200</v>
      </c>
      <c r="G163" s="14">
        <f t="shared" si="4"/>
        <v>3.7974683544303778E-2</v>
      </c>
      <c r="H163" s="14">
        <f t="shared" si="4"/>
        <v>-4.0000000000000036E-3</v>
      </c>
      <c r="I163" s="14">
        <f t="shared" si="4"/>
        <v>1.777777777777767E-2</v>
      </c>
      <c r="J163" s="14">
        <f t="shared" si="4"/>
        <v>0</v>
      </c>
      <c r="K163" s="14">
        <f t="shared" si="4"/>
        <v>1.833568406205921E-2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5">
      <c r="A164" s="12">
        <v>44757</v>
      </c>
      <c r="B164" s="20">
        <v>23700</v>
      </c>
      <c r="C164" s="20">
        <v>37500</v>
      </c>
      <c r="D164" s="20">
        <v>22500</v>
      </c>
      <c r="E164" s="20">
        <v>38900</v>
      </c>
      <c r="F164" s="20">
        <v>70900</v>
      </c>
      <c r="G164" s="14">
        <f t="shared" si="4"/>
        <v>-1.6597510373444035E-2</v>
      </c>
      <c r="H164" s="14">
        <f t="shared" si="4"/>
        <v>1.0781671159029615E-2</v>
      </c>
      <c r="I164" s="14">
        <f t="shared" si="4"/>
        <v>-3.0172413793103425E-2</v>
      </c>
      <c r="J164" s="14">
        <f t="shared" si="4"/>
        <v>1.5665796344647598E-2</v>
      </c>
      <c r="K164" s="14">
        <f t="shared" si="4"/>
        <v>-8.3916083916083517E-3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5">
      <c r="A165" s="12">
        <v>44756</v>
      </c>
      <c r="B165" s="20">
        <v>24100</v>
      </c>
      <c r="C165" s="20">
        <v>37100</v>
      </c>
      <c r="D165" s="20">
        <v>23200</v>
      </c>
      <c r="E165" s="20">
        <v>38300</v>
      </c>
      <c r="F165" s="20">
        <v>71500</v>
      </c>
      <c r="G165" s="14">
        <f t="shared" si="4"/>
        <v>-4.1322314049586639E-3</v>
      </c>
      <c r="H165" s="14">
        <f t="shared" si="4"/>
        <v>6.6091954022988508E-2</v>
      </c>
      <c r="I165" s="14">
        <f t="shared" si="4"/>
        <v>-8.5470085470085166E-3</v>
      </c>
      <c r="J165" s="14">
        <f t="shared" si="4"/>
        <v>-1.9206145966709331E-2</v>
      </c>
      <c r="K165" s="14">
        <f t="shared" si="4"/>
        <v>5.6258790436005679E-3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5">
      <c r="A166" s="12">
        <v>44755</v>
      </c>
      <c r="B166" s="20">
        <v>24200</v>
      </c>
      <c r="C166" s="20">
        <v>34800</v>
      </c>
      <c r="D166" s="20">
        <v>23400</v>
      </c>
      <c r="E166" s="20">
        <v>39050</v>
      </c>
      <c r="F166" s="20">
        <v>71100</v>
      </c>
      <c r="G166" s="14">
        <f t="shared" si="4"/>
        <v>-8.1967213114754189E-3</v>
      </c>
      <c r="H166" s="14">
        <f t="shared" si="4"/>
        <v>2.6548672566371723E-2</v>
      </c>
      <c r="I166" s="14">
        <f t="shared" si="4"/>
        <v>-1.2658227848101222E-2</v>
      </c>
      <c r="J166" s="14">
        <f t="shared" si="4"/>
        <v>1.2820512820512775E-3</v>
      </c>
      <c r="K166" s="14">
        <f t="shared" si="4"/>
        <v>-9.7493036211698803E-3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5">
      <c r="A167" s="12">
        <v>44754</v>
      </c>
      <c r="B167" s="20">
        <v>24400</v>
      </c>
      <c r="C167" s="20">
        <v>33900</v>
      </c>
      <c r="D167" s="20">
        <v>23700</v>
      </c>
      <c r="E167" s="20">
        <v>39000</v>
      </c>
      <c r="F167" s="20">
        <v>71800</v>
      </c>
      <c r="G167" s="14">
        <f t="shared" si="4"/>
        <v>2.5210084033613356E-2</v>
      </c>
      <c r="H167" s="14">
        <f t="shared" si="4"/>
        <v>1.1940298507462588E-2</v>
      </c>
      <c r="I167" s="14">
        <f t="shared" si="4"/>
        <v>8.5106382978723527E-3</v>
      </c>
      <c r="J167" s="14">
        <f t="shared" si="4"/>
        <v>0</v>
      </c>
      <c r="K167" s="14">
        <f t="shared" si="4"/>
        <v>3.4582132564841439E-2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5">
      <c r="A168" s="12">
        <v>44753</v>
      </c>
      <c r="B168" s="20">
        <v>23800</v>
      </c>
      <c r="C168" s="20">
        <v>33500</v>
      </c>
      <c r="D168" s="20">
        <v>23500</v>
      </c>
      <c r="E168" s="20">
        <v>39000</v>
      </c>
      <c r="F168" s="20">
        <v>69400</v>
      </c>
      <c r="G168" s="14">
        <f t="shared" si="4"/>
        <v>-8.3333333333333037E-3</v>
      </c>
      <c r="H168" s="14">
        <f t="shared" si="4"/>
        <v>9.0361445783131433E-3</v>
      </c>
      <c r="I168" s="14">
        <f t="shared" si="4"/>
        <v>1.2931034482758674E-2</v>
      </c>
      <c r="J168" s="14">
        <f t="shared" si="4"/>
        <v>2.6315789473684292E-2</v>
      </c>
      <c r="K168" s="14">
        <f t="shared" si="4"/>
        <v>2.0588235294117574E-2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5">
      <c r="A169" s="12">
        <v>44750</v>
      </c>
      <c r="B169" s="20">
        <v>24000</v>
      </c>
      <c r="C169" s="20">
        <v>33200</v>
      </c>
      <c r="D169" s="20">
        <v>23200</v>
      </c>
      <c r="E169" s="20">
        <v>38000</v>
      </c>
      <c r="F169" s="20">
        <v>68000</v>
      </c>
      <c r="G169" s="14">
        <f t="shared" si="4"/>
        <v>-4.7619047619047672E-2</v>
      </c>
      <c r="H169" s="14">
        <f t="shared" si="4"/>
        <v>-1.1904761904761862E-2</v>
      </c>
      <c r="I169" s="14">
        <f t="shared" si="4"/>
        <v>-2.9288702928870314E-2</v>
      </c>
      <c r="J169" s="14">
        <f t="shared" si="4"/>
        <v>0</v>
      </c>
      <c r="K169" s="14">
        <f t="shared" si="4"/>
        <v>3.8167938931297662E-2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5">
      <c r="A170" s="12">
        <v>44749</v>
      </c>
      <c r="B170" s="20">
        <v>25200</v>
      </c>
      <c r="C170" s="20">
        <v>33600</v>
      </c>
      <c r="D170" s="20">
        <v>23900</v>
      </c>
      <c r="E170" s="20">
        <v>38000</v>
      </c>
      <c r="F170" s="20">
        <v>65500</v>
      </c>
      <c r="G170" s="14">
        <f t="shared" ref="G170:K220" si="5">B170/B171-1</f>
        <v>1.2048192771084265E-2</v>
      </c>
      <c r="H170" s="14">
        <f t="shared" si="5"/>
        <v>9.009009009008917E-3</v>
      </c>
      <c r="I170" s="14">
        <f t="shared" si="5"/>
        <v>5.2863436123347984E-2</v>
      </c>
      <c r="J170" s="14">
        <f t="shared" si="5"/>
        <v>2.7027027027026973E-2</v>
      </c>
      <c r="K170" s="14">
        <f t="shared" si="5"/>
        <v>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5">
      <c r="A171" s="12">
        <v>44748</v>
      </c>
      <c r="B171" s="20">
        <v>24900</v>
      </c>
      <c r="C171" s="20">
        <v>33300</v>
      </c>
      <c r="D171" s="20">
        <v>22700</v>
      </c>
      <c r="E171" s="20">
        <v>37000</v>
      </c>
      <c r="F171" s="20">
        <v>65500</v>
      </c>
      <c r="G171" s="14">
        <f t="shared" si="5"/>
        <v>1.2195121951219523E-2</v>
      </c>
      <c r="H171" s="14">
        <f t="shared" si="5"/>
        <v>3.0120481927711218E-3</v>
      </c>
      <c r="I171" s="14">
        <f t="shared" si="5"/>
        <v>6.5727699530516492E-2</v>
      </c>
      <c r="J171" s="14">
        <f t="shared" si="5"/>
        <v>0</v>
      </c>
      <c r="K171" s="14">
        <f t="shared" si="5"/>
        <v>-6.0698027314112224E-3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5">
      <c r="A172" s="12">
        <v>44747</v>
      </c>
      <c r="B172" s="20">
        <v>24600</v>
      </c>
      <c r="C172" s="20">
        <v>33200</v>
      </c>
      <c r="D172" s="20">
        <v>21300</v>
      </c>
      <c r="E172" s="20">
        <v>37000</v>
      </c>
      <c r="F172" s="20">
        <v>65900</v>
      </c>
      <c r="G172" s="14">
        <f t="shared" si="5"/>
        <v>8.3700440528634346E-2</v>
      </c>
      <c r="H172" s="14">
        <f t="shared" si="5"/>
        <v>-2.9239766081871399E-2</v>
      </c>
      <c r="I172" s="14">
        <f t="shared" si="5"/>
        <v>-1.8433179723502335E-2</v>
      </c>
      <c r="J172" s="14">
        <f t="shared" si="5"/>
        <v>-2.6315789473684181E-2</v>
      </c>
      <c r="K172" s="14">
        <f t="shared" si="5"/>
        <v>-2.5147928994082802E-2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5">
      <c r="A173" s="12">
        <v>44746</v>
      </c>
      <c r="B173" s="20">
        <v>22700</v>
      </c>
      <c r="C173" s="20">
        <v>34200</v>
      </c>
      <c r="D173" s="20">
        <v>21700</v>
      </c>
      <c r="E173" s="20">
        <v>38000</v>
      </c>
      <c r="F173" s="20">
        <v>67600</v>
      </c>
      <c r="G173" s="14">
        <f t="shared" si="5"/>
        <v>-4.3859649122807154E-3</v>
      </c>
      <c r="H173" s="14">
        <f t="shared" si="5"/>
        <v>1.1834319526627279E-2</v>
      </c>
      <c r="I173" s="14">
        <f t="shared" si="5"/>
        <v>-9.1324200913242004E-3</v>
      </c>
      <c r="J173" s="14">
        <f t="shared" si="5"/>
        <v>-7.8328981723237989E-3</v>
      </c>
      <c r="K173" s="14">
        <f t="shared" si="5"/>
        <v>1.1976047904191711E-2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5">
      <c r="A174" s="12">
        <v>44743</v>
      </c>
      <c r="B174" s="20">
        <v>22800</v>
      </c>
      <c r="C174" s="20">
        <v>33800</v>
      </c>
      <c r="D174" s="20">
        <v>21900</v>
      </c>
      <c r="E174" s="20">
        <v>38300</v>
      </c>
      <c r="F174" s="20">
        <v>66800</v>
      </c>
      <c r="G174" s="14">
        <f t="shared" si="5"/>
        <v>-2.1459227467811148E-2</v>
      </c>
      <c r="H174" s="14">
        <f t="shared" si="5"/>
        <v>0</v>
      </c>
      <c r="I174" s="14">
        <f t="shared" si="5"/>
        <v>-1.3513513513513487E-2</v>
      </c>
      <c r="J174" s="14">
        <f t="shared" si="5"/>
        <v>5.249343832020914E-3</v>
      </c>
      <c r="K174" s="14">
        <f t="shared" si="5"/>
        <v>-3.0478955007256947E-2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5">
      <c r="A175" s="12">
        <v>44742</v>
      </c>
      <c r="B175" s="20">
        <v>23300</v>
      </c>
      <c r="C175" s="20">
        <v>33800</v>
      </c>
      <c r="D175" s="20">
        <v>22200</v>
      </c>
      <c r="E175" s="20">
        <v>38100</v>
      </c>
      <c r="F175" s="20">
        <v>68900</v>
      </c>
      <c r="G175" s="14">
        <f t="shared" si="5"/>
        <v>3.5555555555555562E-2</v>
      </c>
      <c r="H175" s="14">
        <f t="shared" si="5"/>
        <v>4.806201550387601E-2</v>
      </c>
      <c r="I175" s="14">
        <f t="shared" si="5"/>
        <v>3.2558139534883734E-2</v>
      </c>
      <c r="J175" s="14">
        <f t="shared" si="5"/>
        <v>5.8333333333333348E-2</v>
      </c>
      <c r="K175" s="14">
        <f t="shared" si="5"/>
        <v>-8.6330935251798246E-3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5">
      <c r="A176" s="12">
        <v>44741</v>
      </c>
      <c r="B176" s="20">
        <v>22500</v>
      </c>
      <c r="C176" s="20">
        <v>32250</v>
      </c>
      <c r="D176" s="20">
        <v>21500</v>
      </c>
      <c r="E176" s="20">
        <v>36000</v>
      </c>
      <c r="F176" s="20">
        <v>69500</v>
      </c>
      <c r="G176" s="14">
        <f t="shared" si="5"/>
        <v>0</v>
      </c>
      <c r="H176" s="14">
        <f t="shared" si="5"/>
        <v>-1.0736196319018454E-2</v>
      </c>
      <c r="I176" s="14">
        <f t="shared" si="5"/>
        <v>-1.3761467889908285E-2</v>
      </c>
      <c r="J176" s="14">
        <f t="shared" si="5"/>
        <v>1.3908205841446364E-3</v>
      </c>
      <c r="K176" s="14">
        <f t="shared" si="5"/>
        <v>5.4628224582701002E-2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5">
      <c r="A177" s="12">
        <v>44740</v>
      </c>
      <c r="B177" s="20">
        <v>22500</v>
      </c>
      <c r="C177" s="20">
        <v>32600</v>
      </c>
      <c r="D177" s="20">
        <v>21800</v>
      </c>
      <c r="E177" s="20">
        <v>35950</v>
      </c>
      <c r="F177" s="20">
        <v>65900</v>
      </c>
      <c r="G177" s="14">
        <f t="shared" si="5"/>
        <v>3.2110091743119185E-2</v>
      </c>
      <c r="H177" s="14">
        <f t="shared" si="5"/>
        <v>-3.0581039755351869E-3</v>
      </c>
      <c r="I177" s="14">
        <f t="shared" si="5"/>
        <v>2.3474178403755763E-2</v>
      </c>
      <c r="J177" s="14">
        <f t="shared" si="5"/>
        <v>0</v>
      </c>
      <c r="K177" s="14">
        <f t="shared" si="5"/>
        <v>6.9805194805194759E-2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5">
      <c r="A178" s="12">
        <v>44739</v>
      </c>
      <c r="B178" s="20">
        <v>21800</v>
      </c>
      <c r="C178" s="20">
        <v>32700</v>
      </c>
      <c r="D178" s="20">
        <v>21300</v>
      </c>
      <c r="E178" s="20">
        <v>35950</v>
      </c>
      <c r="F178" s="20">
        <v>61600</v>
      </c>
      <c r="G178" s="14">
        <f t="shared" si="5"/>
        <v>-3.539823008849563E-2</v>
      </c>
      <c r="H178" s="14">
        <f t="shared" si="5"/>
        <v>-9.0909090909090384E-3</v>
      </c>
      <c r="I178" s="14">
        <f t="shared" si="5"/>
        <v>1.4285714285714235E-2</v>
      </c>
      <c r="J178" s="14">
        <f t="shared" si="5"/>
        <v>-6.906077348066253E-3</v>
      </c>
      <c r="K178" s="14">
        <f t="shared" si="5"/>
        <v>9.8360655737705915E-3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5">
      <c r="A179" s="12">
        <v>44736</v>
      </c>
      <c r="B179" s="20">
        <v>22600</v>
      </c>
      <c r="C179" s="20">
        <v>33000</v>
      </c>
      <c r="D179" s="20">
        <v>21000</v>
      </c>
      <c r="E179" s="20">
        <v>36200</v>
      </c>
      <c r="F179" s="20">
        <v>61000</v>
      </c>
      <c r="G179" s="14">
        <f t="shared" si="5"/>
        <v>4.1474654377880116E-2</v>
      </c>
      <c r="H179" s="14">
        <f t="shared" si="5"/>
        <v>1.5174506828528056E-3</v>
      </c>
      <c r="I179" s="14">
        <f t="shared" si="5"/>
        <v>2.9411764705882248E-2</v>
      </c>
      <c r="J179" s="14">
        <f t="shared" si="5"/>
        <v>0</v>
      </c>
      <c r="K179" s="14">
        <f t="shared" si="5"/>
        <v>-3.2679738562091387E-3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35">
      <c r="A180" s="12">
        <v>44735</v>
      </c>
      <c r="B180" s="20">
        <v>21700</v>
      </c>
      <c r="C180" s="20">
        <v>32950</v>
      </c>
      <c r="D180" s="20">
        <v>20400</v>
      </c>
      <c r="E180" s="20">
        <v>36200</v>
      </c>
      <c r="F180" s="20">
        <v>61200</v>
      </c>
      <c r="G180" s="14">
        <f t="shared" si="5"/>
        <v>2.8436018957346043E-2</v>
      </c>
      <c r="H180" s="14">
        <f t="shared" si="5"/>
        <v>1.0736196319018454E-2</v>
      </c>
      <c r="I180" s="14">
        <f t="shared" si="5"/>
        <v>9.9009900990099098E-3</v>
      </c>
      <c r="J180" s="14">
        <f t="shared" si="5"/>
        <v>1.3831258644536604E-3</v>
      </c>
      <c r="K180" s="14">
        <f t="shared" si="5"/>
        <v>6.5789473684210176E-3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5">
      <c r="A181" s="12">
        <v>44734</v>
      </c>
      <c r="B181" s="20">
        <v>21100</v>
      </c>
      <c r="C181" s="20">
        <v>32600</v>
      </c>
      <c r="D181" s="20">
        <v>20200</v>
      </c>
      <c r="E181" s="20">
        <v>36150</v>
      </c>
      <c r="F181" s="20">
        <v>60800</v>
      </c>
      <c r="G181" s="14">
        <f t="shared" si="5"/>
        <v>-3.2110091743119296E-2</v>
      </c>
      <c r="H181" s="14">
        <f t="shared" si="5"/>
        <v>1.2422360248447228E-2</v>
      </c>
      <c r="I181" s="14">
        <f t="shared" si="5"/>
        <v>-1.4634146341463428E-2</v>
      </c>
      <c r="J181" s="14">
        <f t="shared" si="5"/>
        <v>-9.5890410958904271E-3</v>
      </c>
      <c r="K181" s="14">
        <f t="shared" si="5"/>
        <v>-1.6420361247947435E-3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35">
      <c r="A182" s="12">
        <v>44733</v>
      </c>
      <c r="B182" s="20">
        <v>21800</v>
      </c>
      <c r="C182" s="20">
        <v>32200</v>
      </c>
      <c r="D182" s="20">
        <v>20500</v>
      </c>
      <c r="E182" s="20">
        <v>36500</v>
      </c>
      <c r="F182" s="20">
        <v>60900</v>
      </c>
      <c r="G182" s="14">
        <f t="shared" si="5"/>
        <v>5.8252427184465994E-2</v>
      </c>
      <c r="H182" s="14">
        <f t="shared" si="5"/>
        <v>3.2051282051282159E-2</v>
      </c>
      <c r="I182" s="14">
        <f t="shared" si="5"/>
        <v>-2.8436018957345932E-2</v>
      </c>
      <c r="J182" s="14">
        <f t="shared" si="5"/>
        <v>1.9553072625698276E-2</v>
      </c>
      <c r="K182" s="14">
        <f t="shared" si="5"/>
        <v>4.9504950495049549E-3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5">
      <c r="A183" s="12">
        <v>44732</v>
      </c>
      <c r="B183" s="20">
        <v>20600</v>
      </c>
      <c r="C183" s="20">
        <v>31200</v>
      </c>
      <c r="D183" s="20">
        <v>21100</v>
      </c>
      <c r="E183" s="20">
        <v>35800</v>
      </c>
      <c r="F183" s="20">
        <v>60600</v>
      </c>
      <c r="G183" s="14">
        <f t="shared" si="5"/>
        <v>9.5744680851063801E-2</v>
      </c>
      <c r="H183" s="14">
        <f t="shared" si="5"/>
        <v>4.173622704507518E-2</v>
      </c>
      <c r="I183" s="14">
        <f t="shared" si="5"/>
        <v>5.4999999999999938E-2</v>
      </c>
      <c r="J183" s="14">
        <f t="shared" si="5"/>
        <v>4.0697674418604723E-2</v>
      </c>
      <c r="K183" s="14">
        <f t="shared" si="5"/>
        <v>2.7118644067796627E-2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5">
      <c r="A184" s="12">
        <v>44729</v>
      </c>
      <c r="B184" s="20">
        <v>18800</v>
      </c>
      <c r="C184" s="20">
        <v>29950</v>
      </c>
      <c r="D184" s="20">
        <v>20000</v>
      </c>
      <c r="E184" s="20">
        <v>34400</v>
      </c>
      <c r="F184" s="20">
        <v>59000</v>
      </c>
      <c r="G184" s="14">
        <f t="shared" si="5"/>
        <v>3.2967032967033072E-2</v>
      </c>
      <c r="H184" s="14">
        <f t="shared" si="5"/>
        <v>1.5254237288135686E-2</v>
      </c>
      <c r="I184" s="14">
        <f t="shared" si="5"/>
        <v>2.0408163265306145E-2</v>
      </c>
      <c r="J184" s="14">
        <f t="shared" si="5"/>
        <v>1.4556040756914523E-3</v>
      </c>
      <c r="K184" s="14">
        <f t="shared" si="5"/>
        <v>2.430555555555558E-2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5">
      <c r="A185" s="12">
        <v>44728</v>
      </c>
      <c r="B185" s="20">
        <v>18200</v>
      </c>
      <c r="C185" s="20">
        <v>29500</v>
      </c>
      <c r="D185" s="20">
        <v>19600</v>
      </c>
      <c r="E185" s="20">
        <v>34350</v>
      </c>
      <c r="F185" s="20">
        <v>57600</v>
      </c>
      <c r="G185" s="14">
        <f t="shared" si="5"/>
        <v>-1.0869565217391353E-2</v>
      </c>
      <c r="H185" s="14">
        <f t="shared" si="5"/>
        <v>-3.5947712418300637E-2</v>
      </c>
      <c r="I185" s="14">
        <f t="shared" si="5"/>
        <v>-2.9702970297029729E-2</v>
      </c>
      <c r="J185" s="14">
        <f t="shared" si="5"/>
        <v>-2.6912181303116123E-2</v>
      </c>
      <c r="K185" s="14">
        <f t="shared" si="5"/>
        <v>6.8645640074211478E-2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5">
      <c r="A186" s="12">
        <v>44727</v>
      </c>
      <c r="B186" s="20">
        <v>18400</v>
      </c>
      <c r="C186" s="20">
        <v>30600</v>
      </c>
      <c r="D186" s="20">
        <v>20200</v>
      </c>
      <c r="E186" s="20">
        <v>35300</v>
      </c>
      <c r="F186" s="20">
        <v>53900</v>
      </c>
      <c r="G186" s="14">
        <f t="shared" si="5"/>
        <v>5.464480874316946E-3</v>
      </c>
      <c r="H186" s="14">
        <f t="shared" si="5"/>
        <v>9.9009900990099098E-3</v>
      </c>
      <c r="I186" s="14">
        <f t="shared" si="5"/>
        <v>9.7826086956521729E-2</v>
      </c>
      <c r="J186" s="14">
        <f t="shared" si="5"/>
        <v>-1.1204481792717047E-2</v>
      </c>
      <c r="K186" s="14">
        <f t="shared" si="5"/>
        <v>6.944444444444442E-2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5">
      <c r="A187" s="12">
        <v>44726</v>
      </c>
      <c r="B187" s="20">
        <v>18300</v>
      </c>
      <c r="C187" s="20">
        <v>30300</v>
      </c>
      <c r="D187" s="20">
        <v>18400</v>
      </c>
      <c r="E187" s="20">
        <v>35700</v>
      </c>
      <c r="F187" s="20">
        <v>50400</v>
      </c>
      <c r="G187" s="14">
        <f t="shared" si="5"/>
        <v>1.6666666666666607E-2</v>
      </c>
      <c r="H187" s="14">
        <f t="shared" si="5"/>
        <v>2.020202020202011E-2</v>
      </c>
      <c r="I187" s="14">
        <f t="shared" si="5"/>
        <v>9.5238095238095344E-2</v>
      </c>
      <c r="J187" s="14">
        <f t="shared" si="5"/>
        <v>-5.5710306406685506E-3</v>
      </c>
      <c r="K187" s="14">
        <f t="shared" si="5"/>
        <v>8.0000000000000071E-3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5">
      <c r="A188" s="12">
        <v>44725</v>
      </c>
      <c r="B188" s="20">
        <v>18000</v>
      </c>
      <c r="C188" s="20">
        <v>29700</v>
      </c>
      <c r="D188" s="20">
        <v>16800</v>
      </c>
      <c r="E188" s="20">
        <v>35900</v>
      </c>
      <c r="F188" s="20">
        <v>50000</v>
      </c>
      <c r="G188" s="14">
        <f t="shared" si="5"/>
        <v>9.7560975609756184E-2</v>
      </c>
      <c r="H188" s="14">
        <f t="shared" si="5"/>
        <v>2.9462738301559765E-2</v>
      </c>
      <c r="I188" s="14">
        <f t="shared" si="5"/>
        <v>9.8039215686274606E-2</v>
      </c>
      <c r="J188" s="14">
        <f t="shared" si="5"/>
        <v>2.5714285714285801E-2</v>
      </c>
      <c r="K188" s="14">
        <f t="shared" si="5"/>
        <v>3.3057851239669311E-2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5">
      <c r="A189" s="12">
        <v>44722</v>
      </c>
      <c r="B189" s="20">
        <v>16400</v>
      </c>
      <c r="C189" s="20">
        <v>28850</v>
      </c>
      <c r="D189" s="20">
        <v>15300</v>
      </c>
      <c r="E189" s="20">
        <v>35000</v>
      </c>
      <c r="F189" s="20">
        <v>48400</v>
      </c>
      <c r="G189" s="14">
        <f t="shared" si="5"/>
        <v>5.1282051282051322E-2</v>
      </c>
      <c r="H189" s="14">
        <f t="shared" si="5"/>
        <v>1.763668430335108E-2</v>
      </c>
      <c r="I189" s="14">
        <f t="shared" si="5"/>
        <v>3.3783783783783772E-2</v>
      </c>
      <c r="J189" s="14">
        <f t="shared" si="5"/>
        <v>-8.4985835694051381E-3</v>
      </c>
      <c r="K189" s="14">
        <f t="shared" si="5"/>
        <v>2.7600849256900206E-2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35">
      <c r="A190" s="12">
        <v>44721</v>
      </c>
      <c r="B190" s="20">
        <v>15600</v>
      </c>
      <c r="C190" s="20">
        <v>28350</v>
      </c>
      <c r="D190" s="20">
        <v>14800</v>
      </c>
      <c r="E190" s="20">
        <v>35300</v>
      </c>
      <c r="F190" s="20">
        <v>47100</v>
      </c>
      <c r="G190" s="14">
        <f t="shared" si="5"/>
        <v>-6.0240963855421659E-2</v>
      </c>
      <c r="H190" s="14">
        <f t="shared" si="5"/>
        <v>-2.910958904109584E-2</v>
      </c>
      <c r="I190" s="14">
        <f t="shared" si="5"/>
        <v>-9.7560975609756073E-2</v>
      </c>
      <c r="J190" s="14">
        <f t="shared" si="5"/>
        <v>-1.4144271570014633E-3</v>
      </c>
      <c r="K190" s="14">
        <f t="shared" si="5"/>
        <v>2.3913043478260843E-2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35">
      <c r="A191" s="12">
        <v>44720</v>
      </c>
      <c r="B191" s="20">
        <v>16600</v>
      </c>
      <c r="C191" s="20">
        <v>29200</v>
      </c>
      <c r="D191" s="20">
        <v>16400</v>
      </c>
      <c r="E191" s="20">
        <v>35350</v>
      </c>
      <c r="F191" s="20">
        <v>46000</v>
      </c>
      <c r="G191" s="14">
        <f t="shared" si="5"/>
        <v>8.4967320261437829E-2</v>
      </c>
      <c r="H191" s="14">
        <f t="shared" si="5"/>
        <v>1.5652173913043521E-2</v>
      </c>
      <c r="I191" s="14">
        <f t="shared" si="5"/>
        <v>3.1446540880503138E-2</v>
      </c>
      <c r="J191" s="14">
        <f t="shared" si="5"/>
        <v>2.9112081513828159E-2</v>
      </c>
      <c r="K191" s="14">
        <f t="shared" si="5"/>
        <v>2.1087680355160954E-2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35">
      <c r="A192" s="12">
        <v>44719</v>
      </c>
      <c r="B192" s="20">
        <v>15300</v>
      </c>
      <c r="C192" s="20">
        <v>28750</v>
      </c>
      <c r="D192" s="20">
        <v>15900</v>
      </c>
      <c r="E192" s="20">
        <v>34350</v>
      </c>
      <c r="F192" s="20">
        <v>45050</v>
      </c>
      <c r="G192" s="14">
        <f t="shared" si="5"/>
        <v>-9.9999999999999978E-2</v>
      </c>
      <c r="H192" s="14">
        <f t="shared" si="5"/>
        <v>-6.9579288025889974E-2</v>
      </c>
      <c r="I192" s="14">
        <f t="shared" si="5"/>
        <v>-9.6590909090909061E-2</v>
      </c>
      <c r="J192" s="14">
        <f t="shared" si="5"/>
        <v>-6.9105691056910556E-2</v>
      </c>
      <c r="K192" s="14">
        <f t="shared" si="5"/>
        <v>-6.9214876033057871E-2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35">
      <c r="A193" s="12">
        <v>44718</v>
      </c>
      <c r="B193" s="20">
        <v>17000</v>
      </c>
      <c r="C193" s="20">
        <v>30900</v>
      </c>
      <c r="D193" s="20">
        <v>17600</v>
      </c>
      <c r="E193" s="20">
        <v>36900</v>
      </c>
      <c r="F193" s="20">
        <v>48400</v>
      </c>
      <c r="G193" s="14">
        <f t="shared" si="5"/>
        <v>-8.6021505376344121E-2</v>
      </c>
      <c r="H193" s="14">
        <f t="shared" si="5"/>
        <v>-3.1347962382445194E-2</v>
      </c>
      <c r="I193" s="14">
        <f t="shared" si="5"/>
        <v>-9.7435897435897423E-2</v>
      </c>
      <c r="J193" s="14">
        <f t="shared" si="5"/>
        <v>0</v>
      </c>
      <c r="K193" s="14">
        <f t="shared" si="5"/>
        <v>-6.5637065637065617E-2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5">
      <c r="A194" s="12">
        <v>44715</v>
      </c>
      <c r="B194" s="20">
        <v>18600</v>
      </c>
      <c r="C194" s="20">
        <v>31900</v>
      </c>
      <c r="D194" s="20">
        <v>19500</v>
      </c>
      <c r="E194" s="20">
        <v>36900</v>
      </c>
      <c r="F194" s="20">
        <v>51800</v>
      </c>
      <c r="G194" s="14">
        <f t="shared" si="5"/>
        <v>-5.5837563451776595E-2</v>
      </c>
      <c r="H194" s="14">
        <f t="shared" si="5"/>
        <v>-3.3333333333333326E-2</v>
      </c>
      <c r="I194" s="14">
        <f t="shared" si="5"/>
        <v>-9.722222222222221E-2</v>
      </c>
      <c r="J194" s="14">
        <f t="shared" si="5"/>
        <v>2.7173913043478937E-3</v>
      </c>
      <c r="K194" s="14">
        <f t="shared" si="5"/>
        <v>1.9685039370078705E-2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35">
      <c r="A195" s="12">
        <v>44714</v>
      </c>
      <c r="B195" s="20">
        <v>19700</v>
      </c>
      <c r="C195" s="20">
        <v>33000</v>
      </c>
      <c r="D195" s="20">
        <v>21600</v>
      </c>
      <c r="E195" s="20">
        <v>36800</v>
      </c>
      <c r="F195" s="20">
        <v>50800</v>
      </c>
      <c r="G195" s="14">
        <f t="shared" si="5"/>
        <v>-1.0050251256281451E-2</v>
      </c>
      <c r="H195" s="14">
        <f t="shared" si="5"/>
        <v>0</v>
      </c>
      <c r="I195" s="14">
        <f t="shared" si="5"/>
        <v>-3.1390134529147962E-2</v>
      </c>
      <c r="J195" s="14">
        <f t="shared" si="5"/>
        <v>2.2222222222222143E-2</v>
      </c>
      <c r="K195" s="14">
        <f t="shared" si="5"/>
        <v>6.9473684210526354E-2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35">
      <c r="A196" s="12">
        <v>44713</v>
      </c>
      <c r="B196" s="20">
        <v>19900</v>
      </c>
      <c r="C196" s="20">
        <v>33000</v>
      </c>
      <c r="D196" s="20">
        <v>22300</v>
      </c>
      <c r="E196" s="20">
        <v>36000</v>
      </c>
      <c r="F196" s="20">
        <v>47500</v>
      </c>
      <c r="G196" s="14">
        <f t="shared" si="5"/>
        <v>-1.9704433497536922E-2</v>
      </c>
      <c r="H196" s="14">
        <f t="shared" si="5"/>
        <v>-9.009009009009028E-3</v>
      </c>
      <c r="I196" s="14">
        <f t="shared" si="5"/>
        <v>-4.7008547008547064E-2</v>
      </c>
      <c r="J196" s="14">
        <f t="shared" si="5"/>
        <v>4.0462427745664664E-2</v>
      </c>
      <c r="K196" s="14">
        <f t="shared" si="5"/>
        <v>8.4925690021231404E-3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35">
      <c r="A197" s="12">
        <v>44712</v>
      </c>
      <c r="B197" s="20">
        <v>20300</v>
      </c>
      <c r="C197" s="20">
        <v>33300</v>
      </c>
      <c r="D197" s="20">
        <v>23400</v>
      </c>
      <c r="E197" s="20">
        <v>34600</v>
      </c>
      <c r="F197" s="20">
        <v>47100</v>
      </c>
      <c r="G197" s="14">
        <f t="shared" si="5"/>
        <v>3.0456852791878264E-2</v>
      </c>
      <c r="H197" s="14">
        <f t="shared" si="5"/>
        <v>1.6793893129771087E-2</v>
      </c>
      <c r="I197" s="14">
        <f t="shared" si="5"/>
        <v>-1.2658227848101222E-2</v>
      </c>
      <c r="J197" s="14">
        <f t="shared" si="5"/>
        <v>4.8484848484848575E-2</v>
      </c>
      <c r="K197" s="14">
        <f t="shared" si="5"/>
        <v>3.289473684210531E-2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5">
      <c r="A198" s="12">
        <v>44711</v>
      </c>
      <c r="B198" s="20">
        <v>19700</v>
      </c>
      <c r="C198" s="20">
        <v>32750</v>
      </c>
      <c r="D198" s="20">
        <v>23700</v>
      </c>
      <c r="E198" s="20">
        <v>33000</v>
      </c>
      <c r="F198" s="20">
        <v>45600</v>
      </c>
      <c r="G198" s="14">
        <f t="shared" si="5"/>
        <v>4.2328042328042326E-2</v>
      </c>
      <c r="H198" s="14">
        <f t="shared" si="5"/>
        <v>6.1443932411673341E-3</v>
      </c>
      <c r="I198" s="14">
        <f t="shared" si="5"/>
        <v>7.2398190045248834E-2</v>
      </c>
      <c r="J198" s="14">
        <f t="shared" si="5"/>
        <v>3.125E-2</v>
      </c>
      <c r="K198" s="14">
        <f t="shared" si="5"/>
        <v>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5">
      <c r="A199" s="12">
        <v>44708</v>
      </c>
      <c r="B199" s="20">
        <v>18900</v>
      </c>
      <c r="C199" s="20">
        <v>32550</v>
      </c>
      <c r="D199" s="20">
        <v>22100</v>
      </c>
      <c r="E199" s="20">
        <v>32000</v>
      </c>
      <c r="F199" s="20">
        <v>45600</v>
      </c>
      <c r="G199" s="14">
        <f t="shared" si="5"/>
        <v>-9.5693779904306275E-2</v>
      </c>
      <c r="H199" s="14">
        <f t="shared" si="5"/>
        <v>-6.7335243553008572E-2</v>
      </c>
      <c r="I199" s="14">
        <f t="shared" si="5"/>
        <v>-9.7959183673469341E-2</v>
      </c>
      <c r="J199" s="14">
        <f t="shared" si="5"/>
        <v>-4.6199701937406856E-2</v>
      </c>
      <c r="K199" s="14">
        <f t="shared" si="5"/>
        <v>-6.9387755102040871E-2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5">
      <c r="A200" s="12">
        <v>44707</v>
      </c>
      <c r="B200" s="20">
        <v>20900</v>
      </c>
      <c r="C200" s="20">
        <v>34900</v>
      </c>
      <c r="D200" s="20">
        <v>24500</v>
      </c>
      <c r="E200" s="20">
        <v>33550</v>
      </c>
      <c r="F200" s="20">
        <v>49000</v>
      </c>
      <c r="G200" s="14">
        <f t="shared" si="5"/>
        <v>-3.240740740740744E-2</v>
      </c>
      <c r="H200" s="14">
        <f t="shared" si="5"/>
        <v>-6.9333333333333358E-2</v>
      </c>
      <c r="I200" s="14">
        <f t="shared" si="5"/>
        <v>-2.3904382470119501E-2</v>
      </c>
      <c r="J200" s="14">
        <f t="shared" si="5"/>
        <v>1.9756838905775176E-2</v>
      </c>
      <c r="K200" s="14">
        <f t="shared" si="5"/>
        <v>1.6597510373443924E-2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5">
      <c r="A201" s="12">
        <v>44706</v>
      </c>
      <c r="B201" s="20">
        <v>21600</v>
      </c>
      <c r="C201" s="20">
        <v>37500</v>
      </c>
      <c r="D201" s="20">
        <v>25100</v>
      </c>
      <c r="E201" s="20">
        <v>32900</v>
      </c>
      <c r="F201" s="20">
        <v>48200</v>
      </c>
      <c r="G201" s="14">
        <f t="shared" si="5"/>
        <v>3.8461538461538547E-2</v>
      </c>
      <c r="H201" s="14">
        <f t="shared" si="5"/>
        <v>-1.8324607329842979E-2</v>
      </c>
      <c r="I201" s="14">
        <f t="shared" si="5"/>
        <v>1.6194331983805599E-2</v>
      </c>
      <c r="J201" s="14">
        <f t="shared" si="5"/>
        <v>-6.0422960725075026E-3</v>
      </c>
      <c r="K201" s="14">
        <f t="shared" si="5"/>
        <v>4.3290043290043378E-2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5">
      <c r="A202" s="12">
        <v>44705</v>
      </c>
      <c r="B202" s="20">
        <v>20800</v>
      </c>
      <c r="C202" s="20">
        <v>38200</v>
      </c>
      <c r="D202" s="20">
        <v>24700</v>
      </c>
      <c r="E202" s="20">
        <v>33100</v>
      </c>
      <c r="F202" s="20">
        <v>46200</v>
      </c>
      <c r="G202" s="14">
        <f t="shared" si="5"/>
        <v>1.4634146341463428E-2</v>
      </c>
      <c r="H202" s="14">
        <f t="shared" si="5"/>
        <v>2.6881720430107503E-2</v>
      </c>
      <c r="I202" s="14">
        <f t="shared" si="5"/>
        <v>8.3333333333333259E-2</v>
      </c>
      <c r="J202" s="14">
        <f t="shared" si="5"/>
        <v>1.6897081413210335E-2</v>
      </c>
      <c r="K202" s="14">
        <f t="shared" si="5"/>
        <v>-1.0706638115631661E-2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5">
      <c r="A203" s="12">
        <v>44704</v>
      </c>
      <c r="B203" s="20">
        <v>20500</v>
      </c>
      <c r="C203" s="20">
        <v>37200</v>
      </c>
      <c r="D203" s="20">
        <v>22800</v>
      </c>
      <c r="E203" s="20">
        <v>32550</v>
      </c>
      <c r="F203" s="20">
        <v>46700</v>
      </c>
      <c r="G203" s="14">
        <f t="shared" si="5"/>
        <v>-1.9138755980861233E-2</v>
      </c>
      <c r="H203" s="14">
        <f t="shared" si="5"/>
        <v>0</v>
      </c>
      <c r="I203" s="14">
        <f t="shared" si="5"/>
        <v>-2.5641025641025661E-2</v>
      </c>
      <c r="J203" s="14">
        <f t="shared" si="5"/>
        <v>6.8965517241379226E-2</v>
      </c>
      <c r="K203" s="14">
        <f t="shared" si="5"/>
        <v>1.7429193899782147E-2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5">
      <c r="A204" s="12">
        <v>44701</v>
      </c>
      <c r="B204" s="20">
        <v>20900</v>
      </c>
      <c r="C204" s="20">
        <v>37200</v>
      </c>
      <c r="D204" s="20">
        <v>23400</v>
      </c>
      <c r="E204" s="20">
        <v>30450</v>
      </c>
      <c r="F204" s="20">
        <v>45900</v>
      </c>
      <c r="G204" s="14">
        <f t="shared" si="5"/>
        <v>-4.761904761904745E-3</v>
      </c>
      <c r="H204" s="14">
        <f t="shared" si="5"/>
        <v>2.6954177897573484E-3</v>
      </c>
      <c r="I204" s="14">
        <f t="shared" si="5"/>
        <v>-8.4745762711864181E-3</v>
      </c>
      <c r="J204" s="14">
        <f t="shared" si="5"/>
        <v>-1.2965964343598091E-2</v>
      </c>
      <c r="K204" s="14">
        <f t="shared" si="5"/>
        <v>6.4965197215777204E-2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5">
      <c r="A205" s="12">
        <v>44700</v>
      </c>
      <c r="B205" s="20">
        <v>21000</v>
      </c>
      <c r="C205" s="20">
        <v>37100</v>
      </c>
      <c r="D205" s="20">
        <v>23600</v>
      </c>
      <c r="E205" s="20">
        <v>30850</v>
      </c>
      <c r="F205" s="20">
        <v>43100</v>
      </c>
      <c r="G205" s="14">
        <f t="shared" si="5"/>
        <v>2.4390243902439046E-2</v>
      </c>
      <c r="H205" s="14">
        <f t="shared" si="5"/>
        <v>-2.3684210526315752E-2</v>
      </c>
      <c r="I205" s="14">
        <f t="shared" si="5"/>
        <v>-4.2194092827003704E-3</v>
      </c>
      <c r="J205" s="14">
        <f t="shared" si="5"/>
        <v>3.350083752093802E-2</v>
      </c>
      <c r="K205" s="14">
        <f t="shared" si="5"/>
        <v>-5.7670126874279637E-3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5">
      <c r="A206" s="12">
        <v>44699</v>
      </c>
      <c r="B206" s="20">
        <v>20500</v>
      </c>
      <c r="C206" s="20">
        <v>38000</v>
      </c>
      <c r="D206" s="20">
        <v>23700</v>
      </c>
      <c r="E206" s="20">
        <v>29850</v>
      </c>
      <c r="F206" s="20">
        <v>43350</v>
      </c>
      <c r="G206" s="14">
        <f t="shared" si="5"/>
        <v>1.990049751243772E-2</v>
      </c>
      <c r="H206" s="14">
        <f t="shared" si="5"/>
        <v>-1.1703511053316018E-2</v>
      </c>
      <c r="I206" s="14">
        <f t="shared" si="5"/>
        <v>-2.8688524590163911E-2</v>
      </c>
      <c r="J206" s="14">
        <f t="shared" si="5"/>
        <v>-3.3388981636059967E-3</v>
      </c>
      <c r="K206" s="14">
        <f t="shared" si="5"/>
        <v>-1.1402508551881407E-2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5">
      <c r="A207" s="12">
        <v>44698</v>
      </c>
      <c r="B207" s="20">
        <v>20100</v>
      </c>
      <c r="C207" s="20">
        <v>38450</v>
      </c>
      <c r="D207" s="20">
        <v>24400</v>
      </c>
      <c r="E207" s="20">
        <v>29950</v>
      </c>
      <c r="F207" s="20">
        <v>43850</v>
      </c>
      <c r="G207" s="14">
        <f t="shared" si="5"/>
        <v>5.2356020942408321E-2</v>
      </c>
      <c r="H207" s="14">
        <f t="shared" si="5"/>
        <v>2.8074866310160429E-2</v>
      </c>
      <c r="I207" s="14">
        <f t="shared" si="5"/>
        <v>2.5210084033613356E-2</v>
      </c>
      <c r="J207" s="14">
        <f t="shared" si="5"/>
        <v>1.6977928692699429E-2</v>
      </c>
      <c r="K207" s="14">
        <f t="shared" si="5"/>
        <v>3.1764705882352917E-2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5">
      <c r="A208" s="12">
        <v>44697</v>
      </c>
      <c r="B208" s="20">
        <v>19100</v>
      </c>
      <c r="C208" s="20">
        <v>37400</v>
      </c>
      <c r="D208" s="20">
        <v>23800</v>
      </c>
      <c r="E208" s="20">
        <v>29450</v>
      </c>
      <c r="F208" s="20">
        <v>42500</v>
      </c>
      <c r="G208" s="14">
        <f t="shared" si="5"/>
        <v>2.1390374331550888E-2</v>
      </c>
      <c r="H208" s="14">
        <f t="shared" si="5"/>
        <v>2.1857923497267784E-2</v>
      </c>
      <c r="I208" s="14">
        <f t="shared" si="5"/>
        <v>7.6923076923076872E-2</v>
      </c>
      <c r="J208" s="14">
        <f t="shared" si="5"/>
        <v>8.5616438356164171E-3</v>
      </c>
      <c r="K208" s="14">
        <f t="shared" si="5"/>
        <v>1.9184652278177561E-2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35">
      <c r="A209" s="12">
        <v>44694</v>
      </c>
      <c r="B209" s="20">
        <v>18700</v>
      </c>
      <c r="C209" s="20">
        <v>36600</v>
      </c>
      <c r="D209" s="20">
        <v>22100</v>
      </c>
      <c r="E209" s="20">
        <v>29200</v>
      </c>
      <c r="F209" s="20">
        <v>41700</v>
      </c>
      <c r="G209" s="14">
        <f t="shared" si="5"/>
        <v>-5.3191489361702482E-3</v>
      </c>
      <c r="H209" s="14">
        <f t="shared" si="5"/>
        <v>0</v>
      </c>
      <c r="I209" s="14">
        <f t="shared" si="5"/>
        <v>9.9502487562189046E-2</v>
      </c>
      <c r="J209" s="14">
        <f t="shared" si="5"/>
        <v>3.4364261168384758E-3</v>
      </c>
      <c r="K209" s="14">
        <f t="shared" si="5"/>
        <v>-2.7972027972028024E-2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35">
      <c r="A210" s="12">
        <v>44693</v>
      </c>
      <c r="B210" s="20">
        <v>18800</v>
      </c>
      <c r="C210" s="20">
        <v>36600</v>
      </c>
      <c r="D210" s="20">
        <v>20100</v>
      </c>
      <c r="E210" s="20">
        <v>29100</v>
      </c>
      <c r="F210" s="20">
        <v>42900</v>
      </c>
      <c r="G210" s="14">
        <f t="shared" si="5"/>
        <v>5.6179775280898792E-2</v>
      </c>
      <c r="H210" s="14">
        <f t="shared" si="5"/>
        <v>1.9498607242339761E-2</v>
      </c>
      <c r="I210" s="14">
        <f t="shared" si="5"/>
        <v>9.8360655737705027E-2</v>
      </c>
      <c r="J210" s="14">
        <f t="shared" si="5"/>
        <v>1.3937282229965264E-2</v>
      </c>
      <c r="K210" s="14">
        <f t="shared" si="5"/>
        <v>2.1428571428571352E-2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35">
      <c r="A211" s="12">
        <v>44692</v>
      </c>
      <c r="B211" s="20">
        <v>17800</v>
      </c>
      <c r="C211" s="20">
        <v>35900</v>
      </c>
      <c r="D211" s="20">
        <v>18300</v>
      </c>
      <c r="E211" s="20">
        <v>28700</v>
      </c>
      <c r="F211" s="20">
        <v>42000</v>
      </c>
      <c r="G211" s="14">
        <f t="shared" si="5"/>
        <v>5.6497175141243527E-3</v>
      </c>
      <c r="H211" s="14">
        <f t="shared" si="5"/>
        <v>1.8439716312056653E-2</v>
      </c>
      <c r="I211" s="14">
        <f t="shared" si="5"/>
        <v>9.5808383233533023E-2</v>
      </c>
      <c r="J211" s="14">
        <f t="shared" si="5"/>
        <v>1.5929203539823078E-2</v>
      </c>
      <c r="K211" s="14">
        <f t="shared" si="5"/>
        <v>1.449275362318847E-2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35">
      <c r="A212" s="12">
        <v>44691</v>
      </c>
      <c r="B212" s="20">
        <v>17700</v>
      </c>
      <c r="C212" s="20">
        <v>35250</v>
      </c>
      <c r="D212" s="20">
        <v>16700</v>
      </c>
      <c r="E212" s="20">
        <v>28250</v>
      </c>
      <c r="F212" s="20">
        <v>41400</v>
      </c>
      <c r="G212" s="14">
        <f t="shared" si="5"/>
        <v>-5.6179775280899014E-3</v>
      </c>
      <c r="H212" s="14">
        <f t="shared" si="5"/>
        <v>2.8449502133711668E-3</v>
      </c>
      <c r="I212" s="14">
        <f t="shared" si="5"/>
        <v>4.3749999999999956E-2</v>
      </c>
      <c r="J212" s="14">
        <f t="shared" si="5"/>
        <v>-1.0507880910682998E-2</v>
      </c>
      <c r="K212" s="14">
        <f t="shared" si="5"/>
        <v>-4.8076923076922906E-3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5">
      <c r="A213" s="12">
        <v>44690</v>
      </c>
      <c r="B213" s="20">
        <v>17800</v>
      </c>
      <c r="C213" s="20">
        <v>35150</v>
      </c>
      <c r="D213" s="20">
        <v>16000</v>
      </c>
      <c r="E213" s="20">
        <v>28550</v>
      </c>
      <c r="F213" s="20">
        <v>41600</v>
      </c>
      <c r="G213" s="14">
        <f t="shared" si="5"/>
        <v>0</v>
      </c>
      <c r="H213" s="14">
        <f t="shared" si="5"/>
        <v>-4.2492917847025691E-3</v>
      </c>
      <c r="I213" s="14">
        <f t="shared" si="5"/>
        <v>3.8961038961038863E-2</v>
      </c>
      <c r="J213" s="14">
        <f t="shared" si="5"/>
        <v>-8.6805555555555802E-3</v>
      </c>
      <c r="K213" s="14">
        <f t="shared" si="5"/>
        <v>-9.52380952380949E-3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35">
      <c r="A214" s="12">
        <v>44687</v>
      </c>
      <c r="B214" s="20">
        <v>17800</v>
      </c>
      <c r="C214" s="20">
        <v>35300</v>
      </c>
      <c r="D214" s="20">
        <v>15400</v>
      </c>
      <c r="E214" s="20">
        <v>28800</v>
      </c>
      <c r="F214" s="20">
        <v>42000</v>
      </c>
      <c r="G214" s="14">
        <f t="shared" si="5"/>
        <v>9.8765432098765427E-2</v>
      </c>
      <c r="H214" s="14">
        <f t="shared" si="5"/>
        <v>-2.8248587570621764E-3</v>
      </c>
      <c r="I214" s="14">
        <f t="shared" si="5"/>
        <v>2.6666666666666616E-2</v>
      </c>
      <c r="J214" s="14">
        <f t="shared" si="5"/>
        <v>-1.538461538461533E-2</v>
      </c>
      <c r="K214" s="14">
        <f t="shared" si="5"/>
        <v>-1.8691588785046731E-2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35">
      <c r="A215" s="12">
        <v>44686</v>
      </c>
      <c r="B215" s="20">
        <v>16200</v>
      </c>
      <c r="C215" s="20">
        <v>35400</v>
      </c>
      <c r="D215" s="20">
        <v>15000</v>
      </c>
      <c r="E215" s="20">
        <v>29250</v>
      </c>
      <c r="F215" s="20">
        <v>42800</v>
      </c>
      <c r="G215" s="14">
        <f t="shared" si="5"/>
        <v>1.2499999999999956E-2</v>
      </c>
      <c r="H215" s="14">
        <f t="shared" si="5"/>
        <v>1.5781922525107683E-2</v>
      </c>
      <c r="I215" s="14">
        <f t="shared" si="5"/>
        <v>3.4482758620689724E-2</v>
      </c>
      <c r="J215" s="14">
        <f t="shared" si="5"/>
        <v>3.7234042553191404E-2</v>
      </c>
      <c r="K215" s="14">
        <f t="shared" si="5"/>
        <v>1.4218009478673022E-2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35">
      <c r="A216" s="12">
        <v>44685</v>
      </c>
      <c r="B216" s="20">
        <v>16000</v>
      </c>
      <c r="C216" s="20">
        <v>34850</v>
      </c>
      <c r="D216" s="20">
        <v>14500</v>
      </c>
      <c r="E216" s="20">
        <v>28200</v>
      </c>
      <c r="F216" s="20">
        <v>42200</v>
      </c>
      <c r="G216" s="14">
        <f t="shared" si="5"/>
        <v>-6.2111801242236142E-3</v>
      </c>
      <c r="H216" s="14">
        <f t="shared" si="5"/>
        <v>-2.5174825174825166E-2</v>
      </c>
      <c r="I216" s="14">
        <f t="shared" si="5"/>
        <v>-6.8493150684931781E-3</v>
      </c>
      <c r="J216" s="14">
        <f t="shared" si="5"/>
        <v>-4.4067796610169463E-2</v>
      </c>
      <c r="K216" s="14">
        <f t="shared" si="5"/>
        <v>-3.4324942791762014E-2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5">
      <c r="A217" s="12">
        <v>44680</v>
      </c>
      <c r="B217" s="20">
        <v>16100</v>
      </c>
      <c r="C217" s="20">
        <v>35750</v>
      </c>
      <c r="D217" s="20">
        <v>14600</v>
      </c>
      <c r="E217" s="20">
        <v>29500</v>
      </c>
      <c r="F217" s="20">
        <v>43700</v>
      </c>
      <c r="G217" s="14">
        <f t="shared" si="5"/>
        <v>-1.2269938650306789E-2</v>
      </c>
      <c r="H217" s="14">
        <f t="shared" si="5"/>
        <v>1.5625E-2</v>
      </c>
      <c r="I217" s="14">
        <f t="shared" si="5"/>
        <v>-3.9473684210526327E-2</v>
      </c>
      <c r="J217" s="14">
        <f t="shared" si="5"/>
        <v>0</v>
      </c>
      <c r="K217" s="14">
        <f t="shared" si="5"/>
        <v>-2.0179372197309364E-2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35">
      <c r="A218" s="12">
        <v>44679</v>
      </c>
      <c r="B218" s="20">
        <v>16300</v>
      </c>
      <c r="C218" s="20">
        <v>35200</v>
      </c>
      <c r="D218" s="20">
        <v>15200</v>
      </c>
      <c r="E218" s="20">
        <v>29500</v>
      </c>
      <c r="F218" s="20">
        <v>44600</v>
      </c>
      <c r="G218" s="14">
        <f t="shared" si="5"/>
        <v>-6.0975609756097615E-3</v>
      </c>
      <c r="H218" s="14">
        <f t="shared" si="5"/>
        <v>-5.6497175141242417E-3</v>
      </c>
      <c r="I218" s="14">
        <f t="shared" si="5"/>
        <v>2.7027027027026973E-2</v>
      </c>
      <c r="J218" s="14">
        <f t="shared" si="5"/>
        <v>-2.3178807947019875E-2</v>
      </c>
      <c r="K218" s="14">
        <f t="shared" si="5"/>
        <v>4.4496487119437989E-2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35">
      <c r="A219" s="12">
        <v>44678</v>
      </c>
      <c r="B219" s="20">
        <v>16400</v>
      </c>
      <c r="C219" s="20">
        <v>35400</v>
      </c>
      <c r="D219" s="20">
        <v>14800</v>
      </c>
      <c r="E219" s="20">
        <v>30200</v>
      </c>
      <c r="F219" s="20">
        <v>42700</v>
      </c>
      <c r="G219" s="14">
        <f t="shared" si="5"/>
        <v>1.8633540372670732E-2</v>
      </c>
      <c r="H219" s="14">
        <f t="shared" si="5"/>
        <v>1.4144271570013522E-3</v>
      </c>
      <c r="I219" s="14">
        <f t="shared" si="5"/>
        <v>4.2253521126760507E-2</v>
      </c>
      <c r="J219" s="14">
        <f t="shared" si="5"/>
        <v>-2.7375201288244777E-2</v>
      </c>
      <c r="K219" s="14">
        <f t="shared" si="5"/>
        <v>-2.9545454545454541E-2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35">
      <c r="A220" s="12">
        <v>44677</v>
      </c>
      <c r="B220" s="20">
        <v>16100</v>
      </c>
      <c r="C220" s="20">
        <v>35350</v>
      </c>
      <c r="D220" s="20">
        <v>14200</v>
      </c>
      <c r="E220" s="20">
        <v>31050</v>
      </c>
      <c r="F220" s="20">
        <v>44000</v>
      </c>
      <c r="G220" s="14">
        <f t="shared" si="5"/>
        <v>6.2500000000000888E-3</v>
      </c>
      <c r="H220" s="14">
        <f t="shared" si="5"/>
        <v>-1.5320334261838431E-2</v>
      </c>
      <c r="I220" s="14">
        <f t="shared" si="5"/>
        <v>5.9701492537313383E-2</v>
      </c>
      <c r="J220" s="14">
        <f t="shared" si="5"/>
        <v>4.8543689320388328E-3</v>
      </c>
      <c r="K220" s="14">
        <f t="shared" si="5"/>
        <v>-2.0044543429844075E-2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5">
      <c r="A221" s="12">
        <v>44676</v>
      </c>
      <c r="B221" s="20">
        <v>16000</v>
      </c>
      <c r="C221" s="20">
        <v>35900</v>
      </c>
      <c r="D221" s="20">
        <v>13400</v>
      </c>
      <c r="E221" s="20">
        <v>30900</v>
      </c>
      <c r="F221" s="20">
        <v>44900</v>
      </c>
      <c r="G221" s="14">
        <f t="shared" ref="G221:K271" si="6">B221/B222-1</f>
        <v>0</v>
      </c>
      <c r="H221" s="14">
        <f t="shared" si="6"/>
        <v>-1.7783857729138153E-2</v>
      </c>
      <c r="I221" s="14">
        <f t="shared" si="6"/>
        <v>-2.8985507246376829E-2</v>
      </c>
      <c r="J221" s="14">
        <f t="shared" si="6"/>
        <v>-9.6153846153845812E-3</v>
      </c>
      <c r="K221" s="14">
        <f t="shared" si="6"/>
        <v>-3.3369214208826659E-2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35">
      <c r="A222" s="12">
        <v>44673</v>
      </c>
      <c r="B222" s="20">
        <v>16000</v>
      </c>
      <c r="C222" s="20">
        <v>36550</v>
      </c>
      <c r="D222" s="20">
        <v>13800</v>
      </c>
      <c r="E222" s="20">
        <v>31200</v>
      </c>
      <c r="F222" s="20">
        <v>46450</v>
      </c>
      <c r="G222" s="14">
        <f t="shared" si="6"/>
        <v>1.9108280254777066E-2</v>
      </c>
      <c r="H222" s="14">
        <f t="shared" si="6"/>
        <v>0</v>
      </c>
      <c r="I222" s="14">
        <f t="shared" si="6"/>
        <v>-1.4285714285714235E-2</v>
      </c>
      <c r="J222" s="14">
        <f t="shared" si="6"/>
        <v>4.6979865771812124E-2</v>
      </c>
      <c r="K222" s="14">
        <f t="shared" si="6"/>
        <v>5.4112554112553113E-3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35">
      <c r="A223" s="12">
        <v>44672</v>
      </c>
      <c r="B223" s="20">
        <v>15700</v>
      </c>
      <c r="C223" s="20">
        <v>36550</v>
      </c>
      <c r="D223" s="20">
        <v>14000</v>
      </c>
      <c r="E223" s="20">
        <v>29800</v>
      </c>
      <c r="F223" s="20">
        <v>46200</v>
      </c>
      <c r="G223" s="14">
        <f t="shared" si="6"/>
        <v>-1.2578616352201255E-2</v>
      </c>
      <c r="H223" s="14">
        <f t="shared" si="6"/>
        <v>2.3809523809523725E-2</v>
      </c>
      <c r="I223" s="14">
        <f t="shared" si="6"/>
        <v>-7.0921985815602939E-3</v>
      </c>
      <c r="J223" s="14">
        <f t="shared" si="6"/>
        <v>6.7567567567567988E-3</v>
      </c>
      <c r="K223" s="14">
        <f t="shared" si="6"/>
        <v>2.6666666666666616E-2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35">
      <c r="A224" s="12">
        <v>44671</v>
      </c>
      <c r="B224" s="20">
        <v>15900</v>
      </c>
      <c r="C224" s="20">
        <v>35700</v>
      </c>
      <c r="D224" s="20">
        <v>14100</v>
      </c>
      <c r="E224" s="20">
        <v>29600</v>
      </c>
      <c r="F224" s="20">
        <v>45000</v>
      </c>
      <c r="G224" s="14">
        <f t="shared" si="6"/>
        <v>3.2467532467532534E-2</v>
      </c>
      <c r="H224" s="14">
        <f t="shared" si="6"/>
        <v>0</v>
      </c>
      <c r="I224" s="14">
        <f t="shared" si="6"/>
        <v>5.2238805970149294E-2</v>
      </c>
      <c r="J224" s="14">
        <f t="shared" si="6"/>
        <v>3.3898305084745228E-3</v>
      </c>
      <c r="K224" s="14">
        <f t="shared" si="6"/>
        <v>1.1235955056179803E-2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35">
      <c r="A225" s="12">
        <v>44670</v>
      </c>
      <c r="B225" s="20">
        <v>15400</v>
      </c>
      <c r="C225" s="20">
        <v>35700</v>
      </c>
      <c r="D225" s="20">
        <v>13400</v>
      </c>
      <c r="E225" s="20">
        <v>29500</v>
      </c>
      <c r="F225" s="20">
        <v>44500</v>
      </c>
      <c r="G225" s="14">
        <f t="shared" si="6"/>
        <v>2.6666666666666616E-2</v>
      </c>
      <c r="H225" s="14">
        <f t="shared" si="6"/>
        <v>2.0000000000000018E-2</v>
      </c>
      <c r="I225" s="14">
        <f t="shared" si="6"/>
        <v>4.6875E-2</v>
      </c>
      <c r="J225" s="14">
        <f t="shared" si="6"/>
        <v>-5.0590219224283528E-3</v>
      </c>
      <c r="K225" s="14">
        <f t="shared" si="6"/>
        <v>6.2052505966587068E-2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5">
      <c r="A226" s="12">
        <v>44669</v>
      </c>
      <c r="B226" s="20">
        <v>15000</v>
      </c>
      <c r="C226" s="20">
        <v>35000</v>
      </c>
      <c r="D226" s="20">
        <v>12800</v>
      </c>
      <c r="E226" s="20">
        <v>29650</v>
      </c>
      <c r="F226" s="20">
        <v>41900</v>
      </c>
      <c r="G226" s="14">
        <f t="shared" si="6"/>
        <v>-2.5974025974025983E-2</v>
      </c>
      <c r="H226" s="14">
        <f t="shared" si="6"/>
        <v>-3.4482758620689613E-2</v>
      </c>
      <c r="I226" s="14">
        <f t="shared" si="6"/>
        <v>-3.0303030303030276E-2</v>
      </c>
      <c r="J226" s="14">
        <f t="shared" si="6"/>
        <v>-2.4671052631578982E-2</v>
      </c>
      <c r="K226" s="14">
        <f t="shared" si="6"/>
        <v>-1.1792452830188704E-2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35">
      <c r="A227" s="12">
        <v>44666</v>
      </c>
      <c r="B227" s="20">
        <v>15400</v>
      </c>
      <c r="C227" s="20">
        <v>36250</v>
      </c>
      <c r="D227" s="20">
        <v>13200</v>
      </c>
      <c r="E227" s="20">
        <v>30400</v>
      </c>
      <c r="F227" s="20">
        <v>42400</v>
      </c>
      <c r="G227" s="14">
        <f t="shared" si="6"/>
        <v>6.5359477124182774E-3</v>
      </c>
      <c r="H227" s="14">
        <f t="shared" si="6"/>
        <v>-9.5628415300545999E-3</v>
      </c>
      <c r="I227" s="14">
        <f t="shared" si="6"/>
        <v>3.125E-2</v>
      </c>
      <c r="J227" s="14">
        <f t="shared" si="6"/>
        <v>3.3003300330032292E-3</v>
      </c>
      <c r="K227" s="14">
        <f t="shared" si="6"/>
        <v>3.4146341463414664E-2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5">
      <c r="A228" s="12">
        <v>44665</v>
      </c>
      <c r="B228" s="20">
        <v>15300</v>
      </c>
      <c r="C228" s="20">
        <v>36600</v>
      </c>
      <c r="D228" s="20">
        <v>12800</v>
      </c>
      <c r="E228" s="20">
        <v>30300</v>
      </c>
      <c r="F228" s="20">
        <v>41000</v>
      </c>
      <c r="G228" s="14">
        <f t="shared" si="6"/>
        <v>-1.2903225806451646E-2</v>
      </c>
      <c r="H228" s="14">
        <f t="shared" si="6"/>
        <v>2.8089887640449396E-2</v>
      </c>
      <c r="I228" s="14">
        <f t="shared" si="6"/>
        <v>6.6666666666666652E-2</v>
      </c>
      <c r="J228" s="14">
        <f t="shared" si="6"/>
        <v>-9.8039215686274161E-3</v>
      </c>
      <c r="K228" s="14">
        <f t="shared" si="6"/>
        <v>-6.0606060606060996E-3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35">
      <c r="A229" s="12">
        <v>44664</v>
      </c>
      <c r="B229" s="20">
        <v>15500</v>
      </c>
      <c r="C229" s="20">
        <v>35600</v>
      </c>
      <c r="D229" s="20">
        <v>12000</v>
      </c>
      <c r="E229" s="20">
        <v>30600</v>
      </c>
      <c r="F229" s="20">
        <v>41250</v>
      </c>
      <c r="G229" s="14">
        <f t="shared" si="6"/>
        <v>6.4935064935065512E-3</v>
      </c>
      <c r="H229" s="14">
        <f t="shared" si="6"/>
        <v>-1.5214384508990264E-2</v>
      </c>
      <c r="I229" s="14">
        <f t="shared" si="6"/>
        <v>6.1946902654867353E-2</v>
      </c>
      <c r="J229" s="14">
        <f t="shared" si="6"/>
        <v>8.2372322899506578E-3</v>
      </c>
      <c r="K229" s="14">
        <f t="shared" si="6"/>
        <v>8.5574572127138371E-3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35">
      <c r="A230" s="12">
        <v>44663</v>
      </c>
      <c r="B230" s="20">
        <v>15400</v>
      </c>
      <c r="C230" s="20">
        <v>36150</v>
      </c>
      <c r="D230" s="20">
        <v>11300</v>
      </c>
      <c r="E230" s="20">
        <v>30350</v>
      </c>
      <c r="F230" s="20">
        <v>40900</v>
      </c>
      <c r="G230" s="14">
        <f t="shared" si="6"/>
        <v>0</v>
      </c>
      <c r="H230" s="14">
        <f t="shared" si="6"/>
        <v>-3.7283621837549963E-2</v>
      </c>
      <c r="I230" s="14">
        <f t="shared" si="6"/>
        <v>-8.7719298245614308E-3</v>
      </c>
      <c r="J230" s="14">
        <f t="shared" si="6"/>
        <v>-1.4610389610389629E-2</v>
      </c>
      <c r="K230" s="14">
        <f t="shared" si="6"/>
        <v>-1.918465227817745E-2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35">
      <c r="A231" s="12">
        <v>44659</v>
      </c>
      <c r="B231" s="20">
        <v>15400</v>
      </c>
      <c r="C231" s="20">
        <v>37550</v>
      </c>
      <c r="D231" s="20">
        <v>11400</v>
      </c>
      <c r="E231" s="20">
        <v>30800</v>
      </c>
      <c r="F231" s="20">
        <v>41700</v>
      </c>
      <c r="G231" s="14">
        <f t="shared" si="6"/>
        <v>4.7619047619047672E-2</v>
      </c>
      <c r="H231" s="14">
        <f t="shared" si="6"/>
        <v>6.7024128686326012E-3</v>
      </c>
      <c r="I231" s="14">
        <f t="shared" si="6"/>
        <v>0</v>
      </c>
      <c r="J231" s="14">
        <f t="shared" si="6"/>
        <v>0</v>
      </c>
      <c r="K231" s="14">
        <f t="shared" si="6"/>
        <v>5.7034220532319324E-2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35">
      <c r="A232" s="12">
        <v>44658</v>
      </c>
      <c r="B232" s="20">
        <v>14700</v>
      </c>
      <c r="C232" s="20">
        <v>37300</v>
      </c>
      <c r="D232" s="20">
        <v>11400</v>
      </c>
      <c r="E232" s="20">
        <v>30800</v>
      </c>
      <c r="F232" s="20">
        <v>39450</v>
      </c>
      <c r="G232" s="14">
        <f t="shared" si="6"/>
        <v>-1.3422818791946289E-2</v>
      </c>
      <c r="H232" s="14">
        <f t="shared" si="6"/>
        <v>-1.5831134564643801E-2</v>
      </c>
      <c r="I232" s="14">
        <f t="shared" si="6"/>
        <v>4.587155963302747E-2</v>
      </c>
      <c r="J232" s="14">
        <f t="shared" si="6"/>
        <v>1.1494252873563315E-2</v>
      </c>
      <c r="K232" s="14">
        <f t="shared" si="6"/>
        <v>3.8167938931297218E-3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5">
      <c r="A233" s="12">
        <v>44657</v>
      </c>
      <c r="B233" s="20">
        <v>14900</v>
      </c>
      <c r="C233" s="20">
        <v>37900</v>
      </c>
      <c r="D233" s="20">
        <v>10900</v>
      </c>
      <c r="E233" s="20">
        <v>30450</v>
      </c>
      <c r="F233" s="20">
        <v>39300</v>
      </c>
      <c r="G233" s="14">
        <f t="shared" si="6"/>
        <v>1.3605442176870763E-2</v>
      </c>
      <c r="H233" s="14">
        <f t="shared" si="6"/>
        <v>4.8409405255878335E-2</v>
      </c>
      <c r="I233" s="14">
        <f t="shared" si="6"/>
        <v>-9.0909090909090384E-3</v>
      </c>
      <c r="J233" s="14">
        <f t="shared" si="6"/>
        <v>4.9504950495049549E-3</v>
      </c>
      <c r="K233" s="14">
        <f t="shared" si="6"/>
        <v>1.0282776349614497E-2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35">
      <c r="A234" s="12">
        <v>44656</v>
      </c>
      <c r="B234" s="20">
        <v>14700</v>
      </c>
      <c r="C234" s="20">
        <v>36150</v>
      </c>
      <c r="D234" s="20">
        <v>11000</v>
      </c>
      <c r="E234" s="20">
        <v>30300</v>
      </c>
      <c r="F234" s="20">
        <v>38900</v>
      </c>
      <c r="G234" s="14">
        <f t="shared" si="6"/>
        <v>-2.0000000000000018E-2</v>
      </c>
      <c r="H234" s="14">
        <f t="shared" si="6"/>
        <v>-1.3812154696132284E-3</v>
      </c>
      <c r="I234" s="14">
        <f t="shared" si="6"/>
        <v>-9.009009009009028E-3</v>
      </c>
      <c r="J234" s="14">
        <f t="shared" si="6"/>
        <v>2.020202020202011E-2</v>
      </c>
      <c r="K234" s="14">
        <f t="shared" si="6"/>
        <v>-7.6530612244898322E-3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35">
      <c r="A235" s="12">
        <v>44655</v>
      </c>
      <c r="B235" s="20">
        <v>15000</v>
      </c>
      <c r="C235" s="20">
        <v>36200</v>
      </c>
      <c r="D235" s="20">
        <v>11100</v>
      </c>
      <c r="E235" s="20">
        <v>29700</v>
      </c>
      <c r="F235" s="20">
        <v>39200</v>
      </c>
      <c r="G235" s="14">
        <f t="shared" si="6"/>
        <v>-6.6225165562914245E-3</v>
      </c>
      <c r="H235" s="14">
        <f t="shared" si="6"/>
        <v>-2.7548209366391463E-3</v>
      </c>
      <c r="I235" s="14">
        <f t="shared" si="6"/>
        <v>0</v>
      </c>
      <c r="J235" s="14">
        <f t="shared" si="6"/>
        <v>2.0618556701030855E-2</v>
      </c>
      <c r="K235" s="14">
        <f t="shared" si="6"/>
        <v>7.7120822622107621E-3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35">
      <c r="A236" s="12">
        <v>44652</v>
      </c>
      <c r="B236" s="20">
        <v>15100</v>
      </c>
      <c r="C236" s="20">
        <v>36300</v>
      </c>
      <c r="D236" s="20">
        <v>11100</v>
      </c>
      <c r="E236" s="20">
        <v>29100</v>
      </c>
      <c r="F236" s="20">
        <v>38900</v>
      </c>
      <c r="G236" s="14">
        <f t="shared" si="6"/>
        <v>-6.5789473684210176E-3</v>
      </c>
      <c r="H236" s="14">
        <f t="shared" si="6"/>
        <v>6.9219440353460948E-2</v>
      </c>
      <c r="I236" s="14">
        <f t="shared" si="6"/>
        <v>0</v>
      </c>
      <c r="J236" s="14">
        <f t="shared" si="6"/>
        <v>1.7482517482517501E-2</v>
      </c>
      <c r="K236" s="14">
        <f t="shared" si="6"/>
        <v>-2.1383647798742134E-2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35">
      <c r="A237" s="12">
        <v>44651</v>
      </c>
      <c r="B237" s="20">
        <v>15200</v>
      </c>
      <c r="C237" s="20">
        <v>33950</v>
      </c>
      <c r="D237" s="20">
        <v>11100</v>
      </c>
      <c r="E237" s="20">
        <v>28600</v>
      </c>
      <c r="F237" s="20">
        <v>39750</v>
      </c>
      <c r="G237" s="14">
        <f t="shared" si="6"/>
        <v>2.0134228187919545E-2</v>
      </c>
      <c r="H237" s="14">
        <f t="shared" si="6"/>
        <v>2.9542097488921559E-3</v>
      </c>
      <c r="I237" s="14">
        <f t="shared" si="6"/>
        <v>0</v>
      </c>
      <c r="J237" s="14">
        <f t="shared" si="6"/>
        <v>0</v>
      </c>
      <c r="K237" s="14">
        <f t="shared" si="6"/>
        <v>-3.7593984962406291E-3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35">
      <c r="A238" s="12">
        <v>44650</v>
      </c>
      <c r="B238" s="20">
        <v>14900</v>
      </c>
      <c r="C238" s="20">
        <v>33850</v>
      </c>
      <c r="D238" s="20">
        <v>11100</v>
      </c>
      <c r="E238" s="20">
        <v>28600</v>
      </c>
      <c r="F238" s="20">
        <v>39900</v>
      </c>
      <c r="G238" s="14">
        <f t="shared" si="6"/>
        <v>6.7567567567567988E-3</v>
      </c>
      <c r="H238" s="14">
        <f t="shared" si="6"/>
        <v>-8.7847730600292273E-3</v>
      </c>
      <c r="I238" s="14">
        <f t="shared" si="6"/>
        <v>0</v>
      </c>
      <c r="J238" s="14">
        <f t="shared" si="6"/>
        <v>-3.4843205574912606E-3</v>
      </c>
      <c r="K238" s="14">
        <f t="shared" si="6"/>
        <v>6.3051702395964249E-3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35">
      <c r="A239" s="12">
        <v>44649</v>
      </c>
      <c r="B239" s="20">
        <v>14800</v>
      </c>
      <c r="C239" s="20">
        <v>34150</v>
      </c>
      <c r="D239" s="20">
        <v>11100</v>
      </c>
      <c r="E239" s="20">
        <v>28700</v>
      </c>
      <c r="F239" s="20">
        <v>39650</v>
      </c>
      <c r="G239" s="14">
        <f t="shared" si="6"/>
        <v>0</v>
      </c>
      <c r="H239" s="14">
        <f t="shared" si="6"/>
        <v>-1.0144927536231862E-2</v>
      </c>
      <c r="I239" s="14">
        <f t="shared" si="6"/>
        <v>-8.9285714285713969E-3</v>
      </c>
      <c r="J239" s="14">
        <f t="shared" si="6"/>
        <v>3.4965034965035446E-3</v>
      </c>
      <c r="K239" s="14">
        <f t="shared" si="6"/>
        <v>3.7958115183245988E-2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35">
      <c r="A240" s="12">
        <v>44648</v>
      </c>
      <c r="B240" s="20">
        <v>14800</v>
      </c>
      <c r="C240" s="20">
        <v>34500</v>
      </c>
      <c r="D240" s="20">
        <v>11200</v>
      </c>
      <c r="E240" s="20">
        <v>28600</v>
      </c>
      <c r="F240" s="20">
        <v>38200</v>
      </c>
      <c r="G240" s="14">
        <f t="shared" si="6"/>
        <v>-5.7324840764331197E-2</v>
      </c>
      <c r="H240" s="14">
        <f t="shared" si="6"/>
        <v>3.9156626506024139E-2</v>
      </c>
      <c r="I240" s="14">
        <f t="shared" si="6"/>
        <v>0</v>
      </c>
      <c r="J240" s="14">
        <f t="shared" si="6"/>
        <v>3.5087719298245723E-3</v>
      </c>
      <c r="K240" s="14">
        <f t="shared" si="6"/>
        <v>2.826379542395685E-2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35">
      <c r="A241" s="12">
        <v>44645</v>
      </c>
      <c r="B241" s="20">
        <v>15700</v>
      </c>
      <c r="C241" s="20">
        <v>33200</v>
      </c>
      <c r="D241" s="20">
        <v>11200</v>
      </c>
      <c r="E241" s="20">
        <v>28500</v>
      </c>
      <c r="F241" s="20">
        <v>37150</v>
      </c>
      <c r="G241" s="14">
        <f t="shared" si="6"/>
        <v>0</v>
      </c>
      <c r="H241" s="14">
        <f t="shared" si="6"/>
        <v>0</v>
      </c>
      <c r="I241" s="14">
        <f t="shared" si="6"/>
        <v>0</v>
      </c>
      <c r="J241" s="14">
        <f t="shared" si="6"/>
        <v>-1.041666666666663E-2</v>
      </c>
      <c r="K241" s="14">
        <f t="shared" si="6"/>
        <v>-6.6844919786096524E-3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35">
      <c r="A242" s="12">
        <v>44644</v>
      </c>
      <c r="B242" s="20">
        <v>15700</v>
      </c>
      <c r="C242" s="20">
        <v>33200</v>
      </c>
      <c r="D242" s="20">
        <v>11200</v>
      </c>
      <c r="E242" s="20">
        <v>28800</v>
      </c>
      <c r="F242" s="20">
        <v>37400</v>
      </c>
      <c r="G242" s="14">
        <f t="shared" si="6"/>
        <v>6.4102564102563875E-3</v>
      </c>
      <c r="H242" s="14">
        <f t="shared" si="6"/>
        <v>0</v>
      </c>
      <c r="I242" s="14">
        <f t="shared" si="6"/>
        <v>2.7522935779816571E-2</v>
      </c>
      <c r="J242" s="14">
        <f t="shared" si="6"/>
        <v>-6.8965517241379448E-3</v>
      </c>
      <c r="K242" s="14">
        <f t="shared" si="6"/>
        <v>-1.0582010582010581E-2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35">
      <c r="A243" s="12">
        <v>44643</v>
      </c>
      <c r="B243" s="20">
        <v>15600</v>
      </c>
      <c r="C243" s="20">
        <v>33200</v>
      </c>
      <c r="D243" s="20">
        <v>10900</v>
      </c>
      <c r="E243" s="20">
        <v>29000</v>
      </c>
      <c r="F243" s="20">
        <v>37800</v>
      </c>
      <c r="G243" s="14">
        <f t="shared" si="6"/>
        <v>5.4054054054053946E-2</v>
      </c>
      <c r="H243" s="14">
        <f t="shared" si="6"/>
        <v>1.2195121951219523E-2</v>
      </c>
      <c r="I243" s="14">
        <f t="shared" si="6"/>
        <v>9.2592592592593004E-3</v>
      </c>
      <c r="J243" s="14">
        <f t="shared" si="6"/>
        <v>6.9444444444444198E-3</v>
      </c>
      <c r="K243" s="14">
        <f t="shared" si="6"/>
        <v>2.4390243902439046E-2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35">
      <c r="A244" s="12">
        <v>44642</v>
      </c>
      <c r="B244" s="20">
        <v>14800</v>
      </c>
      <c r="C244" s="20">
        <v>32800</v>
      </c>
      <c r="D244" s="20">
        <v>10800</v>
      </c>
      <c r="E244" s="20">
        <v>28800</v>
      </c>
      <c r="F244" s="20">
        <v>36900</v>
      </c>
      <c r="G244" s="14">
        <f t="shared" si="6"/>
        <v>-1.9867549668874163E-2</v>
      </c>
      <c r="H244" s="14">
        <f t="shared" si="6"/>
        <v>-1.9431988041853532E-2</v>
      </c>
      <c r="I244" s="14">
        <f t="shared" si="6"/>
        <v>0</v>
      </c>
      <c r="J244" s="14">
        <f t="shared" si="6"/>
        <v>-1.0309278350515427E-2</v>
      </c>
      <c r="K244" s="14">
        <f t="shared" si="6"/>
        <v>-2.8947368421052611E-2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35">
      <c r="A245" s="12">
        <v>44641</v>
      </c>
      <c r="B245" s="20">
        <v>15100</v>
      </c>
      <c r="C245" s="20">
        <v>33450</v>
      </c>
      <c r="D245" s="20">
        <v>10800</v>
      </c>
      <c r="E245" s="20">
        <v>29100</v>
      </c>
      <c r="F245" s="20">
        <v>38000</v>
      </c>
      <c r="G245" s="14">
        <f t="shared" si="6"/>
        <v>1.3422818791946289E-2</v>
      </c>
      <c r="H245" s="14">
        <f t="shared" si="6"/>
        <v>7.5301204819278045E-3</v>
      </c>
      <c r="I245" s="14">
        <f t="shared" si="6"/>
        <v>-9.1743119266054496E-3</v>
      </c>
      <c r="J245" s="14">
        <f t="shared" si="6"/>
        <v>0</v>
      </c>
      <c r="K245" s="14">
        <f t="shared" si="6"/>
        <v>1.6042780748663166E-2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35">
      <c r="A246" s="12">
        <v>44638</v>
      </c>
      <c r="B246" s="20">
        <v>14900</v>
      </c>
      <c r="C246" s="20">
        <v>33200</v>
      </c>
      <c r="D246" s="20">
        <v>10900</v>
      </c>
      <c r="E246" s="20">
        <v>29100</v>
      </c>
      <c r="F246" s="20">
        <v>37400</v>
      </c>
      <c r="G246" s="14">
        <f t="shared" si="6"/>
        <v>-6.6666666666667096E-3</v>
      </c>
      <c r="H246" s="14">
        <f t="shared" si="6"/>
        <v>-3.0030030030030463E-3</v>
      </c>
      <c r="I246" s="14">
        <f t="shared" si="6"/>
        <v>0</v>
      </c>
      <c r="J246" s="14">
        <f t="shared" si="6"/>
        <v>-6.8259385665528916E-3</v>
      </c>
      <c r="K246" s="14">
        <f t="shared" si="6"/>
        <v>1.3550135501354976E-2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35">
      <c r="A247" s="12">
        <v>44637</v>
      </c>
      <c r="B247" s="20">
        <v>15000</v>
      </c>
      <c r="C247" s="20">
        <v>33300</v>
      </c>
      <c r="D247" s="20">
        <v>10900</v>
      </c>
      <c r="E247" s="20">
        <v>29300</v>
      </c>
      <c r="F247" s="20">
        <v>36900</v>
      </c>
      <c r="G247" s="14">
        <f t="shared" si="6"/>
        <v>4.8951048951048959E-2</v>
      </c>
      <c r="H247" s="14">
        <f t="shared" si="6"/>
        <v>1.8348623853210899E-2</v>
      </c>
      <c r="I247" s="14">
        <f t="shared" si="6"/>
        <v>9.2592592592593004E-3</v>
      </c>
      <c r="J247" s="14">
        <f t="shared" si="6"/>
        <v>-6.7796610169491567E-3</v>
      </c>
      <c r="K247" s="14">
        <f t="shared" si="6"/>
        <v>2.4999999999999911E-2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35">
      <c r="A248" s="12">
        <v>44636</v>
      </c>
      <c r="B248" s="20">
        <v>14300</v>
      </c>
      <c r="C248" s="20">
        <v>32700</v>
      </c>
      <c r="D248" s="20">
        <v>10800</v>
      </c>
      <c r="E248" s="20">
        <v>29500</v>
      </c>
      <c r="F248" s="20">
        <v>36000</v>
      </c>
      <c r="G248" s="14">
        <f t="shared" si="6"/>
        <v>4.3795620437956151E-2</v>
      </c>
      <c r="H248" s="14">
        <f t="shared" si="6"/>
        <v>-2.0958083832335328E-2</v>
      </c>
      <c r="I248" s="14">
        <f t="shared" si="6"/>
        <v>1.8867924528301883E-2</v>
      </c>
      <c r="J248" s="14">
        <f t="shared" si="6"/>
        <v>-3.3783783783783994E-3</v>
      </c>
      <c r="K248" s="14">
        <f t="shared" si="6"/>
        <v>-1.6393442622950838E-2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35">
      <c r="A249" s="12">
        <v>44635</v>
      </c>
      <c r="B249" s="20">
        <v>13700</v>
      </c>
      <c r="C249" s="20">
        <v>33400</v>
      </c>
      <c r="D249" s="20">
        <v>10600</v>
      </c>
      <c r="E249" s="20">
        <v>29600</v>
      </c>
      <c r="F249" s="20">
        <v>36600</v>
      </c>
      <c r="G249" s="14">
        <f t="shared" si="6"/>
        <v>1.4814814814814836E-2</v>
      </c>
      <c r="H249" s="14">
        <f t="shared" si="6"/>
        <v>4.5383411580594668E-2</v>
      </c>
      <c r="I249" s="14">
        <f t="shared" si="6"/>
        <v>9.52380952380949E-3</v>
      </c>
      <c r="J249" s="14">
        <f t="shared" si="6"/>
        <v>1.3698630136986356E-2</v>
      </c>
      <c r="K249" s="14">
        <f t="shared" si="6"/>
        <v>6.8613138686131281E-2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35">
      <c r="A250" s="12">
        <v>44634</v>
      </c>
      <c r="B250" s="20">
        <v>13500</v>
      </c>
      <c r="C250" s="20">
        <v>31950</v>
      </c>
      <c r="D250" s="20">
        <v>10500</v>
      </c>
      <c r="E250" s="20">
        <v>29200</v>
      </c>
      <c r="F250" s="20">
        <v>34250</v>
      </c>
      <c r="G250" s="14">
        <f t="shared" si="6"/>
        <v>0</v>
      </c>
      <c r="H250" s="14">
        <f t="shared" si="6"/>
        <v>1.1075949367088667E-2</v>
      </c>
      <c r="I250" s="14">
        <f t="shared" si="6"/>
        <v>0</v>
      </c>
      <c r="J250" s="14">
        <f t="shared" si="6"/>
        <v>-6.8027210884353817E-3</v>
      </c>
      <c r="K250" s="14">
        <f t="shared" si="6"/>
        <v>6.8642745709828423E-2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35">
      <c r="A251" s="12">
        <v>44631</v>
      </c>
      <c r="B251" s="20">
        <v>13500</v>
      </c>
      <c r="C251" s="20">
        <v>31600</v>
      </c>
      <c r="D251" s="20">
        <v>10500</v>
      </c>
      <c r="E251" s="20">
        <v>29400</v>
      </c>
      <c r="F251" s="20">
        <v>32050</v>
      </c>
      <c r="G251" s="14">
        <f t="shared" si="6"/>
        <v>-7.3529411764705621E-3</v>
      </c>
      <c r="H251" s="14">
        <f t="shared" si="6"/>
        <v>6.3694267515923553E-3</v>
      </c>
      <c r="I251" s="14">
        <f t="shared" si="6"/>
        <v>0</v>
      </c>
      <c r="J251" s="14">
        <f t="shared" si="6"/>
        <v>-1.6977928692699651E-3</v>
      </c>
      <c r="K251" s="14">
        <f t="shared" si="6"/>
        <v>1.5847860538827252E-2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35">
      <c r="A252" s="12">
        <v>44630</v>
      </c>
      <c r="B252" s="20">
        <v>13600</v>
      </c>
      <c r="C252" s="20">
        <v>31400</v>
      </c>
      <c r="D252" s="20">
        <v>10500</v>
      </c>
      <c r="E252" s="20">
        <v>29450</v>
      </c>
      <c r="F252" s="20">
        <v>31550</v>
      </c>
      <c r="G252" s="14">
        <f t="shared" si="6"/>
        <v>1.4925373134328401E-2</v>
      </c>
      <c r="H252" s="14">
        <f t="shared" si="6"/>
        <v>3.1198686371100237E-2</v>
      </c>
      <c r="I252" s="14">
        <f t="shared" si="6"/>
        <v>0</v>
      </c>
      <c r="J252" s="14">
        <f t="shared" si="6"/>
        <v>5.1194539249146409E-3</v>
      </c>
      <c r="K252" s="14">
        <f t="shared" si="6"/>
        <v>3.4426229508196737E-2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35">
      <c r="A253" s="12">
        <v>44629</v>
      </c>
      <c r="B253" s="20">
        <v>13400</v>
      </c>
      <c r="C253" s="20">
        <v>30450</v>
      </c>
      <c r="D253" s="20">
        <v>10500</v>
      </c>
      <c r="E253" s="20">
        <v>29300</v>
      </c>
      <c r="F253" s="20">
        <v>30500</v>
      </c>
      <c r="G253" s="14">
        <f t="shared" si="6"/>
        <v>1.5151515151515138E-2</v>
      </c>
      <c r="H253" s="14">
        <f t="shared" si="6"/>
        <v>4.9504950495049549E-3</v>
      </c>
      <c r="I253" s="14">
        <f t="shared" si="6"/>
        <v>0</v>
      </c>
      <c r="J253" s="14">
        <f t="shared" si="6"/>
        <v>3.7168141592920367E-2</v>
      </c>
      <c r="K253" s="14">
        <f t="shared" si="6"/>
        <v>1.6420361247948545E-3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35">
      <c r="A254" s="12">
        <v>44628</v>
      </c>
      <c r="B254" s="20">
        <v>13200</v>
      </c>
      <c r="C254" s="20">
        <v>30300</v>
      </c>
      <c r="D254" s="20">
        <v>10500</v>
      </c>
      <c r="E254" s="20">
        <v>28250</v>
      </c>
      <c r="F254" s="20">
        <v>30450</v>
      </c>
      <c r="G254" s="14">
        <f t="shared" si="6"/>
        <v>1.538461538461533E-2</v>
      </c>
      <c r="H254" s="14">
        <f t="shared" si="6"/>
        <v>3.3112582781456013E-3</v>
      </c>
      <c r="I254" s="14">
        <f t="shared" si="6"/>
        <v>5.0000000000000044E-2</v>
      </c>
      <c r="J254" s="14">
        <f t="shared" si="6"/>
        <v>5.3380782918148739E-3</v>
      </c>
      <c r="K254" s="14">
        <f t="shared" si="6"/>
        <v>-9.7560975609756184E-3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35">
      <c r="A255" s="12">
        <v>44627</v>
      </c>
      <c r="B255" s="20">
        <v>13000</v>
      </c>
      <c r="C255" s="20">
        <v>30200</v>
      </c>
      <c r="D255" s="20">
        <v>10000</v>
      </c>
      <c r="E255" s="20">
        <v>28100</v>
      </c>
      <c r="F255" s="20">
        <v>30750</v>
      </c>
      <c r="G255" s="14">
        <f t="shared" si="6"/>
        <v>0</v>
      </c>
      <c r="H255" s="14">
        <f t="shared" si="6"/>
        <v>8.3472454090149917E-3</v>
      </c>
      <c r="I255" s="14">
        <f t="shared" si="6"/>
        <v>-9.9009900990099098E-3</v>
      </c>
      <c r="J255" s="14">
        <f t="shared" si="6"/>
        <v>3.5714285714285587E-3</v>
      </c>
      <c r="K255" s="14">
        <f t="shared" si="6"/>
        <v>1.4851485148514865E-2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35">
      <c r="A256" s="12">
        <v>44624</v>
      </c>
      <c r="B256" s="20">
        <v>13000</v>
      </c>
      <c r="C256" s="20">
        <v>29950</v>
      </c>
      <c r="D256" s="20">
        <v>10100</v>
      </c>
      <c r="E256" s="20">
        <v>28000</v>
      </c>
      <c r="F256" s="20">
        <v>30300</v>
      </c>
      <c r="G256" s="14">
        <f t="shared" si="6"/>
        <v>-7.6335877862595547E-3</v>
      </c>
      <c r="H256" s="14">
        <f t="shared" si="6"/>
        <v>-3.3277870216306127E-3</v>
      </c>
      <c r="I256" s="14">
        <f t="shared" si="6"/>
        <v>-1.9417475728155331E-2</v>
      </c>
      <c r="J256" s="14">
        <f t="shared" si="6"/>
        <v>-7.0921985815602939E-3</v>
      </c>
      <c r="K256" s="14">
        <f t="shared" si="6"/>
        <v>4.663212435233155E-2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35">
      <c r="A257" s="12">
        <v>44623</v>
      </c>
      <c r="B257" s="20">
        <v>13100</v>
      </c>
      <c r="C257" s="20">
        <v>30050</v>
      </c>
      <c r="D257" s="20">
        <v>10300</v>
      </c>
      <c r="E257" s="20">
        <v>28200</v>
      </c>
      <c r="F257" s="20">
        <v>28950</v>
      </c>
      <c r="G257" s="14">
        <f t="shared" si="6"/>
        <v>-2.2388059701492491E-2</v>
      </c>
      <c r="H257" s="14">
        <f t="shared" si="6"/>
        <v>-3.839999999999999E-2</v>
      </c>
      <c r="I257" s="14">
        <f t="shared" si="6"/>
        <v>-9.6153846153845812E-3</v>
      </c>
      <c r="J257" s="14">
        <f t="shared" si="6"/>
        <v>-1.7421602787456414E-2</v>
      </c>
      <c r="K257" s="14">
        <f t="shared" si="6"/>
        <v>-2.5252525252525304E-2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35">
      <c r="A258" s="12">
        <v>44622</v>
      </c>
      <c r="B258" s="20">
        <v>13400</v>
      </c>
      <c r="C258" s="20">
        <v>31250</v>
      </c>
      <c r="D258" s="20">
        <v>10400</v>
      </c>
      <c r="E258" s="20">
        <v>28700</v>
      </c>
      <c r="F258" s="20">
        <v>29700</v>
      </c>
      <c r="G258" s="14">
        <f t="shared" si="6"/>
        <v>-7.4074074074074181E-3</v>
      </c>
      <c r="H258" s="14">
        <f t="shared" si="6"/>
        <v>-2.0376175548589393E-2</v>
      </c>
      <c r="I258" s="14">
        <f t="shared" si="6"/>
        <v>-1.8867924528301883E-2</v>
      </c>
      <c r="J258" s="14">
        <f t="shared" si="6"/>
        <v>-1.0344827586206917E-2</v>
      </c>
      <c r="K258" s="14">
        <f t="shared" si="6"/>
        <v>5.0761421319795996E-3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35">
      <c r="A259" s="12">
        <v>44621</v>
      </c>
      <c r="B259" s="20">
        <v>13500</v>
      </c>
      <c r="C259" s="20">
        <v>31900</v>
      </c>
      <c r="D259" s="20">
        <v>10600</v>
      </c>
      <c r="E259" s="20">
        <v>29000</v>
      </c>
      <c r="F259" s="20">
        <v>29550</v>
      </c>
      <c r="G259" s="14">
        <f t="shared" si="6"/>
        <v>-2.877697841726623E-2</v>
      </c>
      <c r="H259" s="14">
        <f t="shared" si="6"/>
        <v>1.9169329073482455E-2</v>
      </c>
      <c r="I259" s="14">
        <f t="shared" si="6"/>
        <v>-1.851851851851849E-2</v>
      </c>
      <c r="J259" s="14">
        <f t="shared" si="6"/>
        <v>-1.0238907849829393E-2</v>
      </c>
      <c r="K259" s="14">
        <f t="shared" si="6"/>
        <v>6.8716094032549746E-2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35">
      <c r="A260" s="12">
        <v>44620</v>
      </c>
      <c r="B260" s="20">
        <v>13900</v>
      </c>
      <c r="C260" s="20">
        <v>31300</v>
      </c>
      <c r="D260" s="20">
        <v>10800</v>
      </c>
      <c r="E260" s="20">
        <v>29300</v>
      </c>
      <c r="F260" s="20">
        <v>27650</v>
      </c>
      <c r="G260" s="14">
        <f t="shared" si="6"/>
        <v>-7.1428571428571175E-3</v>
      </c>
      <c r="H260" s="14">
        <f t="shared" si="6"/>
        <v>9.6774193548387899E-3</v>
      </c>
      <c r="I260" s="14">
        <f t="shared" si="6"/>
        <v>1.8867924528301883E-2</v>
      </c>
      <c r="J260" s="14">
        <f t="shared" si="6"/>
        <v>0</v>
      </c>
      <c r="K260" s="14">
        <f t="shared" si="6"/>
        <v>-1.8050541516245744E-3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35">
      <c r="A261" s="12">
        <v>44617</v>
      </c>
      <c r="B261" s="20">
        <v>14000</v>
      </c>
      <c r="C261" s="20">
        <v>31000</v>
      </c>
      <c r="D261" s="20">
        <v>10600</v>
      </c>
      <c r="E261" s="20">
        <v>29300</v>
      </c>
      <c r="F261" s="20">
        <v>27700</v>
      </c>
      <c r="G261" s="14">
        <f t="shared" si="6"/>
        <v>7.194244604316502E-3</v>
      </c>
      <c r="H261" s="14">
        <f t="shared" si="6"/>
        <v>-9.5846645367412275E-3</v>
      </c>
      <c r="I261" s="14">
        <f t="shared" si="6"/>
        <v>-2.752293577981646E-2</v>
      </c>
      <c r="J261" s="14">
        <f t="shared" si="6"/>
        <v>3.424657534246478E-3</v>
      </c>
      <c r="K261" s="14">
        <f t="shared" si="6"/>
        <v>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35">
      <c r="A262" s="12">
        <v>44616</v>
      </c>
      <c r="B262" s="20">
        <v>13900</v>
      </c>
      <c r="C262" s="20">
        <v>31300</v>
      </c>
      <c r="D262" s="20">
        <v>10900</v>
      </c>
      <c r="E262" s="20">
        <v>29200</v>
      </c>
      <c r="F262" s="20">
        <v>27700</v>
      </c>
      <c r="G262" s="14">
        <f t="shared" si="6"/>
        <v>-2.1126760563380254E-2</v>
      </c>
      <c r="H262" s="14">
        <f t="shared" si="6"/>
        <v>-6.3492063492063266E-3</v>
      </c>
      <c r="I262" s="14">
        <f t="shared" si="6"/>
        <v>-1.8018018018018056E-2</v>
      </c>
      <c r="J262" s="14">
        <f t="shared" si="6"/>
        <v>0</v>
      </c>
      <c r="K262" s="14">
        <f t="shared" si="6"/>
        <v>-1.0714285714285676E-2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35">
      <c r="A263" s="12">
        <v>44615</v>
      </c>
      <c r="B263" s="20">
        <v>14200</v>
      </c>
      <c r="C263" s="20">
        <v>31500</v>
      </c>
      <c r="D263" s="20">
        <v>11100</v>
      </c>
      <c r="E263" s="20">
        <v>29200</v>
      </c>
      <c r="F263" s="20">
        <v>28000</v>
      </c>
      <c r="G263" s="14">
        <f t="shared" si="6"/>
        <v>2.1582733812949728E-2</v>
      </c>
      <c r="H263" s="14">
        <f t="shared" si="6"/>
        <v>3.2786885245901676E-2</v>
      </c>
      <c r="I263" s="14">
        <f t="shared" si="6"/>
        <v>-8.9285714285713969E-3</v>
      </c>
      <c r="J263" s="14">
        <f t="shared" si="6"/>
        <v>-3.4129692832765013E-3</v>
      </c>
      <c r="K263" s="14">
        <f t="shared" si="6"/>
        <v>3.3210332103321027E-2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35">
      <c r="A264" s="12">
        <v>44614</v>
      </c>
      <c r="B264" s="20">
        <v>13900</v>
      </c>
      <c r="C264" s="20">
        <v>30500</v>
      </c>
      <c r="D264" s="20">
        <v>11200</v>
      </c>
      <c r="E264" s="20">
        <v>29300</v>
      </c>
      <c r="F264" s="20">
        <v>27100</v>
      </c>
      <c r="G264" s="14">
        <f t="shared" si="6"/>
        <v>0</v>
      </c>
      <c r="H264" s="14">
        <f t="shared" si="6"/>
        <v>-1.6129032258064502E-2</v>
      </c>
      <c r="I264" s="14">
        <f t="shared" si="6"/>
        <v>-8.8495575221239076E-3</v>
      </c>
      <c r="J264" s="14">
        <f t="shared" si="6"/>
        <v>-6.7796610169491567E-3</v>
      </c>
      <c r="K264" s="14">
        <f t="shared" si="6"/>
        <v>1.3084112149532645E-2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35">
      <c r="A265" s="12">
        <v>44613</v>
      </c>
      <c r="B265" s="20">
        <v>13900</v>
      </c>
      <c r="C265" s="20">
        <v>31000</v>
      </c>
      <c r="D265" s="20">
        <v>11300</v>
      </c>
      <c r="E265" s="20">
        <v>29500</v>
      </c>
      <c r="F265" s="20">
        <v>26750</v>
      </c>
      <c r="G265" s="14">
        <f t="shared" si="6"/>
        <v>7.2463768115942351E-3</v>
      </c>
      <c r="H265" s="14">
        <f t="shared" si="6"/>
        <v>-1.5873015873015928E-2</v>
      </c>
      <c r="I265" s="14">
        <f t="shared" si="6"/>
        <v>-8.7719298245614308E-3</v>
      </c>
      <c r="J265" s="14">
        <f t="shared" si="6"/>
        <v>-1.3377926421404673E-2</v>
      </c>
      <c r="K265" s="14">
        <f t="shared" si="6"/>
        <v>-5.5762081784386242E-3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35">
      <c r="A266" s="12">
        <v>44610</v>
      </c>
      <c r="B266" s="20">
        <v>13800</v>
      </c>
      <c r="C266" s="20">
        <v>31500</v>
      </c>
      <c r="D266" s="20">
        <v>11400</v>
      </c>
      <c r="E266" s="20">
        <v>29900</v>
      </c>
      <c r="F266" s="20">
        <v>26900</v>
      </c>
      <c r="G266" s="14">
        <f t="shared" si="6"/>
        <v>7.2992700729928028E-3</v>
      </c>
      <c r="H266" s="14">
        <f t="shared" si="6"/>
        <v>-2.6275115919629055E-2</v>
      </c>
      <c r="I266" s="14">
        <f t="shared" si="6"/>
        <v>-8.6956521739129933E-3</v>
      </c>
      <c r="J266" s="14">
        <f t="shared" si="6"/>
        <v>-3.3333333333332993E-3</v>
      </c>
      <c r="K266" s="14">
        <f t="shared" si="6"/>
        <v>-3.7037037037036535E-3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35">
      <c r="A267" s="12">
        <v>44609</v>
      </c>
      <c r="B267" s="20">
        <v>13700</v>
      </c>
      <c r="C267" s="20">
        <v>32350</v>
      </c>
      <c r="D267" s="20">
        <v>11500</v>
      </c>
      <c r="E267" s="20">
        <v>30000</v>
      </c>
      <c r="F267" s="20">
        <v>27000</v>
      </c>
      <c r="G267" s="14">
        <f t="shared" si="6"/>
        <v>0</v>
      </c>
      <c r="H267" s="14">
        <f t="shared" si="6"/>
        <v>-2.8528528528528496E-2</v>
      </c>
      <c r="I267" s="14">
        <f t="shared" si="6"/>
        <v>-8.7301587301587324E-2</v>
      </c>
      <c r="J267" s="14">
        <f t="shared" si="6"/>
        <v>-6.6225165562914245E-3</v>
      </c>
      <c r="K267" s="14">
        <f t="shared" si="6"/>
        <v>-4.2553191489361653E-2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35">
      <c r="A268" s="12">
        <v>44608</v>
      </c>
      <c r="B268" s="20">
        <v>13700</v>
      </c>
      <c r="C268" s="20">
        <v>33300</v>
      </c>
      <c r="D268" s="20">
        <v>12600</v>
      </c>
      <c r="E268" s="20">
        <v>30200</v>
      </c>
      <c r="F268" s="20">
        <v>28200</v>
      </c>
      <c r="G268" s="14">
        <f t="shared" si="6"/>
        <v>0</v>
      </c>
      <c r="H268" s="14">
        <f t="shared" si="6"/>
        <v>1.6793893129771087E-2</v>
      </c>
      <c r="I268" s="14">
        <f t="shared" si="6"/>
        <v>-7.8740157480314821E-3</v>
      </c>
      <c r="J268" s="14">
        <f t="shared" si="6"/>
        <v>6.6666666666665986E-3</v>
      </c>
      <c r="K268" s="14">
        <f t="shared" si="6"/>
        <v>-2.2530329289428108E-2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35">
      <c r="A269" s="12">
        <v>44607</v>
      </c>
      <c r="B269" s="20">
        <v>13700</v>
      </c>
      <c r="C269" s="20">
        <v>32750</v>
      </c>
      <c r="D269" s="20">
        <v>12700</v>
      </c>
      <c r="E269" s="20">
        <v>30000</v>
      </c>
      <c r="F269" s="20">
        <v>28850</v>
      </c>
      <c r="G269" s="14">
        <f t="shared" si="6"/>
        <v>-3.5211267605633756E-2</v>
      </c>
      <c r="H269" s="14">
        <f t="shared" si="6"/>
        <v>-2.3845007451564815E-2</v>
      </c>
      <c r="I269" s="14">
        <f t="shared" si="6"/>
        <v>7.9365079365079083E-3</v>
      </c>
      <c r="J269" s="14">
        <f t="shared" si="6"/>
        <v>-1.1532125205930832E-2</v>
      </c>
      <c r="K269" s="14">
        <f t="shared" si="6"/>
        <v>-1.7301038062284002E-3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35">
      <c r="A270" s="12">
        <v>44606</v>
      </c>
      <c r="B270" s="20">
        <v>14200</v>
      </c>
      <c r="C270" s="20">
        <v>33550</v>
      </c>
      <c r="D270" s="20">
        <v>12600</v>
      </c>
      <c r="E270" s="20">
        <v>30350</v>
      </c>
      <c r="F270" s="20">
        <v>28900</v>
      </c>
      <c r="G270" s="14">
        <f t="shared" si="6"/>
        <v>0</v>
      </c>
      <c r="H270" s="14">
        <f t="shared" si="6"/>
        <v>-1.4880952380952328E-3</v>
      </c>
      <c r="I270" s="14">
        <f t="shared" si="6"/>
        <v>-7.8740157480314821E-3</v>
      </c>
      <c r="J270" s="14">
        <f t="shared" si="6"/>
        <v>0</v>
      </c>
      <c r="K270" s="14">
        <f t="shared" si="6"/>
        <v>3.0303030303030276E-2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35">
      <c r="A271" s="12">
        <v>44603</v>
      </c>
      <c r="B271" s="20">
        <v>14200</v>
      </c>
      <c r="C271" s="20">
        <v>33600</v>
      </c>
      <c r="D271" s="20">
        <v>12700</v>
      </c>
      <c r="E271" s="20">
        <v>30350</v>
      </c>
      <c r="F271" s="20">
        <v>28050</v>
      </c>
      <c r="G271" s="14">
        <f t="shared" si="6"/>
        <v>1.4285714285714235E-2</v>
      </c>
      <c r="H271" s="14">
        <f t="shared" si="6"/>
        <v>-1.7543859649122862E-2</v>
      </c>
      <c r="I271" s="14">
        <f t="shared" si="6"/>
        <v>0</v>
      </c>
      <c r="J271" s="14">
        <f t="shared" si="6"/>
        <v>3.3057851239668423E-3</v>
      </c>
      <c r="K271" s="14">
        <f t="shared" si="6"/>
        <v>-3.5523978685613189E-3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35">
      <c r="A272" s="12">
        <v>44602</v>
      </c>
      <c r="B272" s="20">
        <v>14000</v>
      </c>
      <c r="C272" s="20">
        <v>34200</v>
      </c>
      <c r="D272" s="20">
        <v>12700</v>
      </c>
      <c r="E272" s="20">
        <v>30250</v>
      </c>
      <c r="F272" s="20">
        <v>28150</v>
      </c>
      <c r="G272" s="14">
        <f t="shared" ref="G272:K322" si="7">B272/B273-1</f>
        <v>-1.4084507042253502E-2</v>
      </c>
      <c r="H272" s="14">
        <f t="shared" si="7"/>
        <v>0</v>
      </c>
      <c r="I272" s="14">
        <f t="shared" si="7"/>
        <v>0</v>
      </c>
      <c r="J272" s="14">
        <f t="shared" si="7"/>
        <v>-6.5681444991789739E-3</v>
      </c>
      <c r="K272" s="14">
        <f t="shared" si="7"/>
        <v>7.1556350626118537E-3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35">
      <c r="A273" s="12">
        <v>44601</v>
      </c>
      <c r="B273" s="20">
        <v>14200</v>
      </c>
      <c r="C273" s="20">
        <v>34200</v>
      </c>
      <c r="D273" s="20">
        <v>12700</v>
      </c>
      <c r="E273" s="20">
        <v>30450</v>
      </c>
      <c r="F273" s="20">
        <v>27950</v>
      </c>
      <c r="G273" s="14">
        <f t="shared" si="7"/>
        <v>0</v>
      </c>
      <c r="H273" s="14">
        <f t="shared" si="7"/>
        <v>5.8823529411764497E-3</v>
      </c>
      <c r="I273" s="14">
        <f t="shared" si="7"/>
        <v>1.6000000000000014E-2</v>
      </c>
      <c r="J273" s="14">
        <f t="shared" si="7"/>
        <v>3.2948929159801743E-3</v>
      </c>
      <c r="K273" s="14">
        <f t="shared" si="7"/>
        <v>1.26811594202898E-2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35">
      <c r="A274" s="12">
        <v>44600</v>
      </c>
      <c r="B274" s="20">
        <v>14200</v>
      </c>
      <c r="C274" s="20">
        <v>34000</v>
      </c>
      <c r="D274" s="20">
        <v>12500</v>
      </c>
      <c r="E274" s="20">
        <v>30350</v>
      </c>
      <c r="F274" s="20">
        <v>27600</v>
      </c>
      <c r="G274" s="14">
        <f t="shared" si="7"/>
        <v>4.4117647058823595E-2</v>
      </c>
      <c r="H274" s="14">
        <f t="shared" si="7"/>
        <v>1.1904761904761862E-2</v>
      </c>
      <c r="I274" s="14">
        <f t="shared" si="7"/>
        <v>8.0645161290322509E-3</v>
      </c>
      <c r="J274" s="14">
        <f t="shared" si="7"/>
        <v>9.9833610648918381E-3</v>
      </c>
      <c r="K274" s="14">
        <f t="shared" si="7"/>
        <v>6.9767441860465018E-2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35">
      <c r="A275" s="12">
        <v>44599</v>
      </c>
      <c r="B275" s="20">
        <v>13600</v>
      </c>
      <c r="C275" s="20">
        <v>33600</v>
      </c>
      <c r="D275" s="20">
        <v>12400</v>
      </c>
      <c r="E275" s="20">
        <v>30050</v>
      </c>
      <c r="F275" s="20">
        <v>25800</v>
      </c>
      <c r="G275" s="14">
        <f t="shared" si="7"/>
        <v>-2.1582733812949617E-2</v>
      </c>
      <c r="H275" s="14">
        <f t="shared" si="7"/>
        <v>-1.6105417276720324E-2</v>
      </c>
      <c r="I275" s="14">
        <f t="shared" si="7"/>
        <v>-8.0000000000000071E-3</v>
      </c>
      <c r="J275" s="14">
        <f t="shared" si="7"/>
        <v>-2.1172638436482094E-2</v>
      </c>
      <c r="K275" s="14">
        <f t="shared" si="7"/>
        <v>3.8910505836575737E-3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35">
      <c r="A276" s="12">
        <v>44589</v>
      </c>
      <c r="B276" s="20">
        <v>13900</v>
      </c>
      <c r="C276" s="20">
        <v>34150</v>
      </c>
      <c r="D276" s="20">
        <v>12500</v>
      </c>
      <c r="E276" s="20">
        <v>30700</v>
      </c>
      <c r="F276" s="20">
        <v>25700</v>
      </c>
      <c r="G276" s="14">
        <f t="shared" si="7"/>
        <v>2.2058823529411686E-2</v>
      </c>
      <c r="H276" s="14">
        <f t="shared" si="7"/>
        <v>0</v>
      </c>
      <c r="I276" s="14">
        <f t="shared" si="7"/>
        <v>2.4590163934426146E-2</v>
      </c>
      <c r="J276" s="14">
        <f t="shared" si="7"/>
        <v>4.2444821731748794E-2</v>
      </c>
      <c r="K276" s="14">
        <f t="shared" si="7"/>
        <v>5.8708414872798986E-3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35">
      <c r="A277" s="12">
        <v>44588</v>
      </c>
      <c r="B277" s="20">
        <v>13600</v>
      </c>
      <c r="C277" s="20">
        <v>34150</v>
      </c>
      <c r="D277" s="20">
        <v>12200</v>
      </c>
      <c r="E277" s="20">
        <v>29450</v>
      </c>
      <c r="F277" s="20">
        <v>25550</v>
      </c>
      <c r="G277" s="14">
        <f t="shared" si="7"/>
        <v>7.4074074074073071E-3</v>
      </c>
      <c r="H277" s="14">
        <f t="shared" si="7"/>
        <v>-1.4619883040936088E-3</v>
      </c>
      <c r="I277" s="14">
        <f t="shared" si="7"/>
        <v>8.2644628099173278E-3</v>
      </c>
      <c r="J277" s="14">
        <f t="shared" si="7"/>
        <v>-1.6949152542372614E-3</v>
      </c>
      <c r="K277" s="14">
        <f t="shared" si="7"/>
        <v>-1.953125E-3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35">
      <c r="A278" s="12">
        <v>44587</v>
      </c>
      <c r="B278" s="20">
        <v>13500</v>
      </c>
      <c r="C278" s="20">
        <v>34200</v>
      </c>
      <c r="D278" s="20">
        <v>12100</v>
      </c>
      <c r="E278" s="20">
        <v>29500</v>
      </c>
      <c r="F278" s="20">
        <v>25600</v>
      </c>
      <c r="G278" s="14">
        <f t="shared" si="7"/>
        <v>-2.877697841726623E-2</v>
      </c>
      <c r="H278" s="14">
        <f t="shared" si="7"/>
        <v>-2.8409090909090939E-2</v>
      </c>
      <c r="I278" s="14">
        <f t="shared" si="7"/>
        <v>3.4188034188034289E-2</v>
      </c>
      <c r="J278" s="14">
        <f t="shared" si="7"/>
        <v>-6.7340067340067034E-3</v>
      </c>
      <c r="K278" s="14">
        <f t="shared" si="7"/>
        <v>-3.0303030303030276E-2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35">
      <c r="A279" s="12">
        <v>44586</v>
      </c>
      <c r="B279" s="20">
        <v>13900</v>
      </c>
      <c r="C279" s="20">
        <v>35200</v>
      </c>
      <c r="D279" s="20">
        <v>11700</v>
      </c>
      <c r="E279" s="20">
        <v>29700</v>
      </c>
      <c r="F279" s="20">
        <v>26400</v>
      </c>
      <c r="G279" s="14">
        <f t="shared" si="7"/>
        <v>2.2058823529411686E-2</v>
      </c>
      <c r="H279" s="14">
        <f t="shared" si="7"/>
        <v>2.9239766081871288E-2</v>
      </c>
      <c r="I279" s="14">
        <f t="shared" si="7"/>
        <v>2.6315789473684292E-2</v>
      </c>
      <c r="J279" s="14">
        <f t="shared" si="7"/>
        <v>-1.6806722689075571E-3</v>
      </c>
      <c r="K279" s="14">
        <f t="shared" si="7"/>
        <v>-1.890359168241984E-3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35">
      <c r="A280" s="12">
        <v>44585</v>
      </c>
      <c r="B280" s="20">
        <v>13600</v>
      </c>
      <c r="C280" s="20">
        <v>34200</v>
      </c>
      <c r="D280" s="20">
        <v>11400</v>
      </c>
      <c r="E280" s="20">
        <v>29750</v>
      </c>
      <c r="F280" s="20">
        <v>26450</v>
      </c>
      <c r="G280" s="14">
        <f t="shared" si="7"/>
        <v>7.4074074074073071E-3</v>
      </c>
      <c r="H280" s="14">
        <f t="shared" si="7"/>
        <v>-2.9154518950437192E-3</v>
      </c>
      <c r="I280" s="14">
        <f t="shared" si="7"/>
        <v>8.8495575221239076E-3</v>
      </c>
      <c r="J280" s="14">
        <f t="shared" si="7"/>
        <v>5.0675675675675436E-3</v>
      </c>
      <c r="K280" s="14">
        <f t="shared" si="7"/>
        <v>1.9267822736030782E-2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35">
      <c r="A281" s="12">
        <v>44582</v>
      </c>
      <c r="B281" s="20">
        <v>13500</v>
      </c>
      <c r="C281" s="20">
        <v>34300</v>
      </c>
      <c r="D281" s="20">
        <v>11300</v>
      </c>
      <c r="E281" s="20">
        <v>29600</v>
      </c>
      <c r="F281" s="20">
        <v>25950</v>
      </c>
      <c r="G281" s="14">
        <f t="shared" si="7"/>
        <v>-7.3529411764705621E-3</v>
      </c>
      <c r="H281" s="14">
        <f t="shared" si="7"/>
        <v>-1.1527377521613813E-2</v>
      </c>
      <c r="I281" s="14">
        <f t="shared" si="7"/>
        <v>-8.7719298245614308E-3</v>
      </c>
      <c r="J281" s="14">
        <f t="shared" si="7"/>
        <v>-6.7114093959731447E-3</v>
      </c>
      <c r="K281" s="14">
        <f t="shared" si="7"/>
        <v>2.3668639053254337E-2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5">
      <c r="A282" s="12">
        <v>44581</v>
      </c>
      <c r="B282" s="20">
        <v>13600</v>
      </c>
      <c r="C282" s="20">
        <v>34700</v>
      </c>
      <c r="D282" s="20">
        <v>11400</v>
      </c>
      <c r="E282" s="20">
        <v>29800</v>
      </c>
      <c r="F282" s="20">
        <v>25350</v>
      </c>
      <c r="G282" s="14">
        <f t="shared" si="7"/>
        <v>7.4074074074073071E-3</v>
      </c>
      <c r="H282" s="14">
        <f t="shared" si="7"/>
        <v>-8.5714285714285632E-3</v>
      </c>
      <c r="I282" s="14">
        <f t="shared" si="7"/>
        <v>8.8495575221239076E-3</v>
      </c>
      <c r="J282" s="14">
        <f t="shared" si="7"/>
        <v>8.4602368866328881E-3</v>
      </c>
      <c r="K282" s="14">
        <f t="shared" si="7"/>
        <v>3.9603960396039639E-3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35">
      <c r="A283" s="12">
        <v>44580</v>
      </c>
      <c r="B283" s="20">
        <v>13500</v>
      </c>
      <c r="C283" s="20">
        <v>35000</v>
      </c>
      <c r="D283" s="20">
        <v>11300</v>
      </c>
      <c r="E283" s="20">
        <v>29550</v>
      </c>
      <c r="F283" s="20">
        <v>25250</v>
      </c>
      <c r="G283" s="14">
        <f t="shared" si="7"/>
        <v>4.6511627906976827E-2</v>
      </c>
      <c r="H283" s="14">
        <f t="shared" si="7"/>
        <v>6.7073170731707377E-2</v>
      </c>
      <c r="I283" s="14">
        <f t="shared" si="7"/>
        <v>-8.7719298245614308E-3</v>
      </c>
      <c r="J283" s="14">
        <f t="shared" si="7"/>
        <v>1.6949152542373724E-3</v>
      </c>
      <c r="K283" s="14">
        <f t="shared" si="7"/>
        <v>1.4056224899598346E-2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5">
      <c r="A284" s="12">
        <v>44579</v>
      </c>
      <c r="B284" s="20">
        <v>12900</v>
      </c>
      <c r="C284" s="20">
        <v>32800</v>
      </c>
      <c r="D284" s="20">
        <v>11400</v>
      </c>
      <c r="E284" s="20">
        <v>29500</v>
      </c>
      <c r="F284" s="20">
        <v>24900</v>
      </c>
      <c r="G284" s="14">
        <f t="shared" si="7"/>
        <v>0</v>
      </c>
      <c r="H284" s="14">
        <f t="shared" si="7"/>
        <v>-3.0395136778115228E-3</v>
      </c>
      <c r="I284" s="14">
        <f t="shared" si="7"/>
        <v>2.7027027027026973E-2</v>
      </c>
      <c r="J284" s="14">
        <f t="shared" si="7"/>
        <v>0</v>
      </c>
      <c r="K284" s="14">
        <f t="shared" si="7"/>
        <v>-2.5440313111546042E-2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35">
      <c r="A285" s="12">
        <v>44578</v>
      </c>
      <c r="B285" s="20">
        <v>12900</v>
      </c>
      <c r="C285" s="20">
        <v>32900</v>
      </c>
      <c r="D285" s="20">
        <v>11100</v>
      </c>
      <c r="E285" s="20">
        <v>29500</v>
      </c>
      <c r="F285" s="20">
        <v>25550</v>
      </c>
      <c r="G285" s="14">
        <f t="shared" si="7"/>
        <v>7.8125E-3</v>
      </c>
      <c r="H285" s="14">
        <f t="shared" si="7"/>
        <v>1.5220700152207556E-3</v>
      </c>
      <c r="I285" s="14">
        <f t="shared" si="7"/>
        <v>0</v>
      </c>
      <c r="J285" s="14">
        <f t="shared" si="7"/>
        <v>8.5470085470085166E-3</v>
      </c>
      <c r="K285" s="14">
        <f t="shared" si="7"/>
        <v>-5.8365758754863606E-3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5">
      <c r="A286" s="12">
        <v>44575</v>
      </c>
      <c r="B286" s="20">
        <v>12800</v>
      </c>
      <c r="C286" s="20">
        <v>32850</v>
      </c>
      <c r="D286" s="20">
        <v>11100</v>
      </c>
      <c r="E286" s="20">
        <v>29250</v>
      </c>
      <c r="F286" s="20">
        <v>25700</v>
      </c>
      <c r="G286" s="14">
        <f t="shared" si="7"/>
        <v>-7.7519379844961378E-3</v>
      </c>
      <c r="H286" s="14">
        <f t="shared" si="7"/>
        <v>-1.7937219730941756E-2</v>
      </c>
      <c r="I286" s="14">
        <f t="shared" si="7"/>
        <v>0</v>
      </c>
      <c r="J286" s="14">
        <f t="shared" si="7"/>
        <v>-1.3490725126475533E-2</v>
      </c>
      <c r="K286" s="14">
        <f t="shared" si="7"/>
        <v>-1.1538461538461497E-2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35">
      <c r="A287" s="12">
        <v>44574</v>
      </c>
      <c r="B287" s="20">
        <v>12900</v>
      </c>
      <c r="C287" s="20">
        <v>33450</v>
      </c>
      <c r="D287" s="20">
        <v>11100</v>
      </c>
      <c r="E287" s="20">
        <v>29650</v>
      </c>
      <c r="F287" s="20">
        <v>26000</v>
      </c>
      <c r="G287" s="14">
        <f t="shared" si="7"/>
        <v>3.2000000000000028E-2</v>
      </c>
      <c r="H287" s="14">
        <f t="shared" si="7"/>
        <v>-1.6176470588235348E-2</v>
      </c>
      <c r="I287" s="14">
        <f t="shared" si="7"/>
        <v>2.7777777777777679E-2</v>
      </c>
      <c r="J287" s="14">
        <f t="shared" si="7"/>
        <v>-5.0335570469798308E-3</v>
      </c>
      <c r="K287" s="14">
        <f t="shared" si="7"/>
        <v>3.8610038610038533E-3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5">
      <c r="A288" s="12">
        <v>44573</v>
      </c>
      <c r="B288" s="20">
        <v>12500</v>
      </c>
      <c r="C288" s="20">
        <v>34000</v>
      </c>
      <c r="D288" s="20">
        <v>10800</v>
      </c>
      <c r="E288" s="20">
        <v>29800</v>
      </c>
      <c r="F288" s="20">
        <v>25900</v>
      </c>
      <c r="G288" s="14">
        <f t="shared" si="7"/>
        <v>8.0645161290322509E-3</v>
      </c>
      <c r="H288" s="14">
        <f t="shared" si="7"/>
        <v>-4.3923865300146137E-3</v>
      </c>
      <c r="I288" s="14">
        <f t="shared" si="7"/>
        <v>9.3457943925232545E-3</v>
      </c>
      <c r="J288" s="14">
        <f t="shared" si="7"/>
        <v>-8.3194675540765317E-3</v>
      </c>
      <c r="K288" s="14">
        <f t="shared" si="7"/>
        <v>1.9685039370078705E-2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5">
      <c r="A289" s="12">
        <v>44572</v>
      </c>
      <c r="B289" s="20">
        <v>12400</v>
      </c>
      <c r="C289" s="20">
        <v>34150</v>
      </c>
      <c r="D289" s="20">
        <v>10700</v>
      </c>
      <c r="E289" s="20">
        <v>30050</v>
      </c>
      <c r="F289" s="20">
        <v>25400</v>
      </c>
      <c r="G289" s="14">
        <f t="shared" si="7"/>
        <v>8.1300813008129413E-3</v>
      </c>
      <c r="H289" s="14">
        <f t="shared" si="7"/>
        <v>3.1722054380664666E-2</v>
      </c>
      <c r="I289" s="14">
        <f t="shared" si="7"/>
        <v>9.4339622641510523E-3</v>
      </c>
      <c r="J289" s="14">
        <f t="shared" si="7"/>
        <v>1.5202702702702631E-2</v>
      </c>
      <c r="K289" s="14">
        <f t="shared" si="7"/>
        <v>3.9525691699604515E-3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35">
      <c r="A290" s="12">
        <v>44571</v>
      </c>
      <c r="B290" s="20">
        <v>12300</v>
      </c>
      <c r="C290" s="20">
        <v>33100</v>
      </c>
      <c r="D290" s="20">
        <v>10600</v>
      </c>
      <c r="E290" s="20">
        <v>29600</v>
      </c>
      <c r="F290" s="20">
        <v>25300</v>
      </c>
      <c r="G290" s="14">
        <f t="shared" si="7"/>
        <v>-8.0645161290322509E-3</v>
      </c>
      <c r="H290" s="14">
        <f t="shared" si="7"/>
        <v>3.4375000000000044E-2</v>
      </c>
      <c r="I290" s="14">
        <f t="shared" si="7"/>
        <v>-1.851851851851849E-2</v>
      </c>
      <c r="J290" s="14">
        <f t="shared" si="7"/>
        <v>-5.0420168067226712E-3</v>
      </c>
      <c r="K290" s="14">
        <f t="shared" si="7"/>
        <v>9.9800399201597223E-3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5">
      <c r="A291" s="12">
        <v>44568</v>
      </c>
      <c r="B291" s="20">
        <v>12400</v>
      </c>
      <c r="C291" s="20">
        <v>32000</v>
      </c>
      <c r="D291" s="20">
        <v>10800</v>
      </c>
      <c r="E291" s="20">
        <v>29750</v>
      </c>
      <c r="F291" s="20">
        <v>25050</v>
      </c>
      <c r="G291" s="14">
        <f t="shared" si="7"/>
        <v>0</v>
      </c>
      <c r="H291" s="14">
        <f t="shared" si="7"/>
        <v>-2.7355623100303927E-2</v>
      </c>
      <c r="I291" s="14">
        <f t="shared" si="7"/>
        <v>9.3457943925232545E-3</v>
      </c>
      <c r="J291" s="14">
        <f t="shared" si="7"/>
        <v>8.4745762711864181E-3</v>
      </c>
      <c r="K291" s="14">
        <f t="shared" si="7"/>
        <v>1.8292682926829285E-2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35">
      <c r="A292" s="12">
        <v>44567</v>
      </c>
      <c r="B292" s="20">
        <v>12400</v>
      </c>
      <c r="C292" s="20">
        <v>32900</v>
      </c>
      <c r="D292" s="20">
        <v>10700</v>
      </c>
      <c r="E292" s="20">
        <v>29500</v>
      </c>
      <c r="F292" s="20">
        <v>24600</v>
      </c>
      <c r="G292" s="14">
        <f t="shared" si="7"/>
        <v>-8.0000000000000071E-3</v>
      </c>
      <c r="H292" s="14">
        <f t="shared" si="7"/>
        <v>9.2024539877300082E-3</v>
      </c>
      <c r="I292" s="14">
        <f t="shared" si="7"/>
        <v>0</v>
      </c>
      <c r="J292" s="14">
        <f t="shared" si="7"/>
        <v>2.9668411867364686E-2</v>
      </c>
      <c r="K292" s="14">
        <f t="shared" si="7"/>
        <v>6.956521739130439E-2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5">
      <c r="A293" s="12">
        <v>44566</v>
      </c>
      <c r="B293" s="20">
        <v>12500</v>
      </c>
      <c r="C293" s="20">
        <v>32600</v>
      </c>
      <c r="D293" s="20">
        <v>10700</v>
      </c>
      <c r="E293" s="20">
        <v>28650</v>
      </c>
      <c r="F293" s="20">
        <v>23000</v>
      </c>
      <c r="G293" s="14">
        <f t="shared" si="7"/>
        <v>1.6260162601626105E-2</v>
      </c>
      <c r="H293" s="14">
        <f t="shared" si="7"/>
        <v>2.515723270440251E-2</v>
      </c>
      <c r="I293" s="14">
        <f t="shared" si="7"/>
        <v>-9.2592592592593004E-3</v>
      </c>
      <c r="J293" s="14">
        <f t="shared" si="7"/>
        <v>8.8028169014084945E-3</v>
      </c>
      <c r="K293" s="14">
        <f t="shared" si="7"/>
        <v>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35">
      <c r="A294" s="12">
        <v>44565</v>
      </c>
      <c r="B294" s="20">
        <v>12300</v>
      </c>
      <c r="C294" s="20">
        <v>31800</v>
      </c>
      <c r="D294" s="20">
        <v>10800</v>
      </c>
      <c r="E294" s="20">
        <v>28400</v>
      </c>
      <c r="F294" s="20">
        <v>23000</v>
      </c>
      <c r="G294" s="14">
        <f t="shared" si="7"/>
        <v>-2.3809523809523836E-2</v>
      </c>
      <c r="H294" s="14">
        <f t="shared" si="7"/>
        <v>-1.851851851851849E-2</v>
      </c>
      <c r="I294" s="14">
        <f t="shared" si="7"/>
        <v>-9.1743119266054496E-3</v>
      </c>
      <c r="J294" s="14">
        <f t="shared" si="7"/>
        <v>5.3097345132744334E-3</v>
      </c>
      <c r="K294" s="14">
        <f t="shared" si="7"/>
        <v>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5">
      <c r="A295" s="12">
        <v>44561</v>
      </c>
      <c r="B295" s="20">
        <v>12600</v>
      </c>
      <c r="C295" s="20">
        <v>32400</v>
      </c>
      <c r="D295" s="20">
        <v>10900</v>
      </c>
      <c r="E295" s="20">
        <v>28250</v>
      </c>
      <c r="F295" s="20">
        <v>23000</v>
      </c>
      <c r="G295" s="14">
        <f t="shared" si="7"/>
        <v>-7.8740157480314821E-3</v>
      </c>
      <c r="H295" s="14">
        <f t="shared" si="7"/>
        <v>2.3696682464454888E-2</v>
      </c>
      <c r="I295" s="14">
        <f t="shared" si="7"/>
        <v>0</v>
      </c>
      <c r="J295" s="14">
        <f t="shared" si="7"/>
        <v>7.1301247771835552E-3</v>
      </c>
      <c r="K295" s="14">
        <f t="shared" si="7"/>
        <v>-1.9189765458422214E-2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35">
      <c r="A296" s="12">
        <v>44560</v>
      </c>
      <c r="B296" s="20">
        <v>12700</v>
      </c>
      <c r="C296" s="20">
        <v>31650</v>
      </c>
      <c r="D296" s="20">
        <v>10900</v>
      </c>
      <c r="E296" s="20">
        <v>28050</v>
      </c>
      <c r="F296" s="20">
        <v>23450</v>
      </c>
      <c r="G296" s="14">
        <f t="shared" si="7"/>
        <v>-7.8125E-3</v>
      </c>
      <c r="H296" s="14">
        <f t="shared" si="7"/>
        <v>2.2617124394184174E-2</v>
      </c>
      <c r="I296" s="14">
        <f t="shared" si="7"/>
        <v>9.2592592592593004E-3</v>
      </c>
      <c r="J296" s="14">
        <f t="shared" si="7"/>
        <v>-1.4059753954305809E-2</v>
      </c>
      <c r="K296" s="14">
        <f t="shared" si="7"/>
        <v>2.1367521367521292E-3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5">
      <c r="A297" s="12">
        <v>44559</v>
      </c>
      <c r="B297" s="20">
        <v>12800</v>
      </c>
      <c r="C297" s="20">
        <v>30950</v>
      </c>
      <c r="D297" s="20">
        <v>10800</v>
      </c>
      <c r="E297" s="20">
        <v>28450</v>
      </c>
      <c r="F297" s="20">
        <v>23400</v>
      </c>
      <c r="G297" s="14">
        <f t="shared" si="7"/>
        <v>1.5873015873015817E-2</v>
      </c>
      <c r="H297" s="14">
        <f t="shared" si="7"/>
        <v>6.7241379310344795E-2</v>
      </c>
      <c r="I297" s="14">
        <f t="shared" si="7"/>
        <v>-9.1743119266054496E-3</v>
      </c>
      <c r="J297" s="14">
        <f t="shared" si="7"/>
        <v>2.1543985637342944E-2</v>
      </c>
      <c r="K297" s="14">
        <f t="shared" si="7"/>
        <v>2.6315789473684292E-2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35">
      <c r="A298" s="12">
        <v>44558</v>
      </c>
      <c r="B298" s="20">
        <v>12600</v>
      </c>
      <c r="C298" s="20">
        <v>29000</v>
      </c>
      <c r="D298" s="20">
        <v>10900</v>
      </c>
      <c r="E298" s="20">
        <v>27850</v>
      </c>
      <c r="F298" s="20">
        <v>22800</v>
      </c>
      <c r="G298" s="14">
        <f t="shared" si="7"/>
        <v>-7.8740157480314821E-3</v>
      </c>
      <c r="H298" s="14">
        <f t="shared" si="7"/>
        <v>-6.8493150684931781E-3</v>
      </c>
      <c r="I298" s="14">
        <f t="shared" si="7"/>
        <v>9.2592592592593004E-3</v>
      </c>
      <c r="J298" s="14">
        <f t="shared" si="7"/>
        <v>-1.0657193605683846E-2</v>
      </c>
      <c r="K298" s="14">
        <f t="shared" si="7"/>
        <v>-2.5641025641025661E-2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5">
      <c r="A299" s="12">
        <v>44557</v>
      </c>
      <c r="B299" s="20">
        <v>12700</v>
      </c>
      <c r="C299" s="20">
        <v>29200</v>
      </c>
      <c r="D299" s="20">
        <v>10800</v>
      </c>
      <c r="E299" s="20">
        <v>28150</v>
      </c>
      <c r="F299" s="20">
        <v>23400</v>
      </c>
      <c r="G299" s="14">
        <f t="shared" si="7"/>
        <v>-7.8125E-3</v>
      </c>
      <c r="H299" s="14">
        <f t="shared" si="7"/>
        <v>-1.3513513513513487E-2</v>
      </c>
      <c r="I299" s="14">
        <f t="shared" si="7"/>
        <v>2.857142857142847E-2</v>
      </c>
      <c r="J299" s="14">
        <f t="shared" si="7"/>
        <v>3.6832412523020164E-2</v>
      </c>
      <c r="K299" s="14">
        <f t="shared" si="7"/>
        <v>-1.4736842105263159E-2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35">
      <c r="A300" s="12">
        <v>44554</v>
      </c>
      <c r="B300" s="20">
        <v>12800</v>
      </c>
      <c r="C300" s="20">
        <v>29600</v>
      </c>
      <c r="D300" s="20">
        <v>10500</v>
      </c>
      <c r="E300" s="20">
        <v>27150</v>
      </c>
      <c r="F300" s="20">
        <v>23750</v>
      </c>
      <c r="G300" s="14">
        <f t="shared" si="7"/>
        <v>-7.7519379844961378E-3</v>
      </c>
      <c r="H300" s="14">
        <f t="shared" si="7"/>
        <v>4.5936395759717419E-2</v>
      </c>
      <c r="I300" s="14">
        <f t="shared" si="7"/>
        <v>1.9417475728155331E-2</v>
      </c>
      <c r="J300" s="14">
        <f t="shared" si="7"/>
        <v>-4.0636042402826811E-2</v>
      </c>
      <c r="K300" s="14">
        <f t="shared" si="7"/>
        <v>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35">
      <c r="A301" s="12">
        <v>44553</v>
      </c>
      <c r="B301" s="20">
        <v>12900</v>
      </c>
      <c r="C301" s="20">
        <v>28300</v>
      </c>
      <c r="D301" s="20">
        <v>10300</v>
      </c>
      <c r="E301" s="20">
        <v>28300</v>
      </c>
      <c r="F301" s="20">
        <v>23750</v>
      </c>
      <c r="G301" s="14">
        <f t="shared" si="7"/>
        <v>4.0322580645161255E-2</v>
      </c>
      <c r="H301" s="14">
        <f t="shared" si="7"/>
        <v>-1.7636684303351524E-3</v>
      </c>
      <c r="I301" s="14">
        <f t="shared" si="7"/>
        <v>1.980198019801982E-2</v>
      </c>
      <c r="J301" s="14">
        <f t="shared" si="7"/>
        <v>1.7699115044247371E-3</v>
      </c>
      <c r="K301" s="14">
        <f t="shared" si="7"/>
        <v>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35">
      <c r="A302" s="12">
        <v>44552</v>
      </c>
      <c r="B302" s="20">
        <v>12400</v>
      </c>
      <c r="C302" s="20">
        <v>28350</v>
      </c>
      <c r="D302" s="20">
        <v>10100</v>
      </c>
      <c r="E302" s="20">
        <v>28250</v>
      </c>
      <c r="F302" s="20">
        <v>23750</v>
      </c>
      <c r="G302" s="14">
        <f t="shared" si="7"/>
        <v>0</v>
      </c>
      <c r="H302" s="14">
        <f t="shared" si="7"/>
        <v>-1.9031141868512069E-2</v>
      </c>
      <c r="I302" s="14">
        <f t="shared" si="7"/>
        <v>0</v>
      </c>
      <c r="J302" s="14">
        <f t="shared" si="7"/>
        <v>-7.0298769771528491E-3</v>
      </c>
      <c r="K302" s="14">
        <f t="shared" si="7"/>
        <v>4.2283298097252064E-3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35">
      <c r="A303" s="12">
        <v>44551</v>
      </c>
      <c r="B303" s="20">
        <v>12400</v>
      </c>
      <c r="C303" s="20">
        <v>28900</v>
      </c>
      <c r="D303" s="20">
        <v>10100</v>
      </c>
      <c r="E303" s="20">
        <v>28450</v>
      </c>
      <c r="F303" s="20">
        <v>23650</v>
      </c>
      <c r="G303" s="14">
        <f t="shared" si="7"/>
        <v>1.6393442622950838E-2</v>
      </c>
      <c r="H303" s="14">
        <f t="shared" si="7"/>
        <v>2.4822695035461084E-2</v>
      </c>
      <c r="I303" s="14">
        <f t="shared" si="7"/>
        <v>2.020202020202011E-2</v>
      </c>
      <c r="J303" s="14">
        <f t="shared" si="7"/>
        <v>5.300353356890497E-3</v>
      </c>
      <c r="K303" s="14">
        <f t="shared" si="7"/>
        <v>-3.0737704918032738E-2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35">
      <c r="A304" s="12">
        <v>44550</v>
      </c>
      <c r="B304" s="20">
        <v>12200</v>
      </c>
      <c r="C304" s="20">
        <v>28200</v>
      </c>
      <c r="D304" s="20">
        <v>9900</v>
      </c>
      <c r="E304" s="20">
        <v>28300</v>
      </c>
      <c r="F304" s="20">
        <v>24400</v>
      </c>
      <c r="G304" s="14">
        <f t="shared" si="7"/>
        <v>1.6666666666666607E-2</v>
      </c>
      <c r="H304" s="14">
        <f t="shared" si="7"/>
        <v>7.1428571428571175E-3</v>
      </c>
      <c r="I304" s="14">
        <f t="shared" si="7"/>
        <v>0</v>
      </c>
      <c r="J304" s="14">
        <f t="shared" si="7"/>
        <v>8.9126559714796105E-3</v>
      </c>
      <c r="K304" s="14">
        <f t="shared" si="7"/>
        <v>-4.0816326530612734E-3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5">
      <c r="A305" s="12">
        <v>44547</v>
      </c>
      <c r="B305" s="20">
        <v>12000</v>
      </c>
      <c r="C305" s="20">
        <v>28000</v>
      </c>
      <c r="D305" s="20">
        <v>9900</v>
      </c>
      <c r="E305" s="20">
        <v>28050</v>
      </c>
      <c r="F305" s="20">
        <v>24500</v>
      </c>
      <c r="G305" s="14">
        <f t="shared" si="7"/>
        <v>-1.6393442622950838E-2</v>
      </c>
      <c r="H305" s="14">
        <f t="shared" si="7"/>
        <v>-1.9264448336252182E-2</v>
      </c>
      <c r="I305" s="14">
        <f t="shared" si="7"/>
        <v>0</v>
      </c>
      <c r="J305" s="14">
        <f t="shared" si="7"/>
        <v>-5.3191489361702482E-3</v>
      </c>
      <c r="K305" s="14">
        <f t="shared" si="7"/>
        <v>4.7008547008547064E-2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35">
      <c r="A306" s="12">
        <v>44546</v>
      </c>
      <c r="B306" s="20">
        <v>12200</v>
      </c>
      <c r="C306" s="20">
        <v>28550</v>
      </c>
      <c r="D306" s="20">
        <v>9900</v>
      </c>
      <c r="E306" s="20">
        <v>28200</v>
      </c>
      <c r="F306" s="20">
        <v>23400</v>
      </c>
      <c r="G306" s="14">
        <f t="shared" si="7"/>
        <v>8.2644628099173278E-3</v>
      </c>
      <c r="H306" s="14">
        <f t="shared" si="7"/>
        <v>-1.7482517482517723E-3</v>
      </c>
      <c r="I306" s="14">
        <f t="shared" si="7"/>
        <v>1.0204081632652962E-2</v>
      </c>
      <c r="J306" s="14">
        <f t="shared" si="7"/>
        <v>-1.0526315789473717E-2</v>
      </c>
      <c r="K306" s="14">
        <f t="shared" si="7"/>
        <v>6.4516129032257119E-3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5">
      <c r="A307" s="12">
        <v>44545</v>
      </c>
      <c r="B307" s="20">
        <v>12100</v>
      </c>
      <c r="C307" s="20">
        <v>28600</v>
      </c>
      <c r="D307" s="20">
        <v>9800</v>
      </c>
      <c r="E307" s="20">
        <v>28500</v>
      </c>
      <c r="F307" s="20">
        <v>23250</v>
      </c>
      <c r="G307" s="14">
        <f t="shared" si="7"/>
        <v>-8.1967213114754189E-3</v>
      </c>
      <c r="H307" s="14">
        <f t="shared" si="7"/>
        <v>3.2490974729241895E-2</v>
      </c>
      <c r="I307" s="14">
        <f t="shared" si="7"/>
        <v>0</v>
      </c>
      <c r="J307" s="14">
        <f t="shared" si="7"/>
        <v>3.5211267605634866E-3</v>
      </c>
      <c r="K307" s="14">
        <f t="shared" si="7"/>
        <v>-4.9079754601227044E-2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35">
      <c r="A308" s="12">
        <v>44544</v>
      </c>
      <c r="B308" s="20">
        <v>12200</v>
      </c>
      <c r="C308" s="20">
        <v>27700</v>
      </c>
      <c r="D308" s="20">
        <v>9800</v>
      </c>
      <c r="E308" s="20">
        <v>28400</v>
      </c>
      <c r="F308" s="20">
        <v>24450</v>
      </c>
      <c r="G308" s="14">
        <f t="shared" si="7"/>
        <v>8.2644628099173278E-3</v>
      </c>
      <c r="H308" s="14">
        <f t="shared" si="7"/>
        <v>2.5925925925925908E-2</v>
      </c>
      <c r="I308" s="14">
        <f t="shared" si="7"/>
        <v>0</v>
      </c>
      <c r="J308" s="14">
        <f t="shared" si="7"/>
        <v>-3.5087719298245723E-3</v>
      </c>
      <c r="K308" s="14">
        <f t="shared" si="7"/>
        <v>-2.0408163265306367E-3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5">
      <c r="A309" s="12">
        <v>44543</v>
      </c>
      <c r="B309" s="20">
        <v>12100</v>
      </c>
      <c r="C309" s="20">
        <v>27000</v>
      </c>
      <c r="D309" s="20">
        <v>9800</v>
      </c>
      <c r="E309" s="20">
        <v>28500</v>
      </c>
      <c r="F309" s="20">
        <v>24500</v>
      </c>
      <c r="G309" s="14">
        <f t="shared" si="7"/>
        <v>-1.6260162601625994E-2</v>
      </c>
      <c r="H309" s="14">
        <f t="shared" si="7"/>
        <v>-1.2797074954296161E-2</v>
      </c>
      <c r="I309" s="14">
        <f t="shared" si="7"/>
        <v>0</v>
      </c>
      <c r="J309" s="14">
        <f t="shared" si="7"/>
        <v>-3.4965034965035446E-3</v>
      </c>
      <c r="K309" s="14">
        <f t="shared" si="7"/>
        <v>2.5104602510460206E-2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35">
      <c r="A310" s="12">
        <v>44540</v>
      </c>
      <c r="B310" s="20">
        <v>12300</v>
      </c>
      <c r="C310" s="20">
        <v>27350</v>
      </c>
      <c r="D310" s="20">
        <v>9800</v>
      </c>
      <c r="E310" s="20">
        <v>28600</v>
      </c>
      <c r="F310" s="20">
        <v>23900</v>
      </c>
      <c r="G310" s="14">
        <f t="shared" si="7"/>
        <v>-8.0645161290322509E-3</v>
      </c>
      <c r="H310" s="14">
        <f t="shared" si="7"/>
        <v>1.2962962962963065E-2</v>
      </c>
      <c r="I310" s="14">
        <f t="shared" si="7"/>
        <v>0</v>
      </c>
      <c r="J310" s="14">
        <f t="shared" si="7"/>
        <v>1.7793594306049876E-2</v>
      </c>
      <c r="K310" s="14">
        <f t="shared" si="7"/>
        <v>1.7021276595744705E-2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35">
      <c r="A311" s="12">
        <v>44539</v>
      </c>
      <c r="B311" s="20">
        <v>12400</v>
      </c>
      <c r="C311" s="20">
        <v>27000</v>
      </c>
      <c r="D311" s="20">
        <v>9800</v>
      </c>
      <c r="E311" s="20">
        <v>28100</v>
      </c>
      <c r="F311" s="20">
        <v>23500</v>
      </c>
      <c r="G311" s="14">
        <f t="shared" si="7"/>
        <v>1.6393442622950838E-2</v>
      </c>
      <c r="H311" s="14">
        <f t="shared" si="7"/>
        <v>-1.098901098901095E-2</v>
      </c>
      <c r="I311" s="14">
        <f t="shared" si="7"/>
        <v>2.0833333333333259E-2</v>
      </c>
      <c r="J311" s="14">
        <f t="shared" si="7"/>
        <v>2.5547445255474477E-2</v>
      </c>
      <c r="K311" s="14">
        <f t="shared" si="7"/>
        <v>-1.6736401673640211E-2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35">
      <c r="A312" s="12">
        <v>44538</v>
      </c>
      <c r="B312" s="20">
        <v>12200</v>
      </c>
      <c r="C312" s="20">
        <v>27300</v>
      </c>
      <c r="D312" s="20">
        <v>9600</v>
      </c>
      <c r="E312" s="20">
        <v>27400</v>
      </c>
      <c r="F312" s="20">
        <v>23900</v>
      </c>
      <c r="G312" s="14">
        <f t="shared" si="7"/>
        <v>8.2644628099173278E-3</v>
      </c>
      <c r="H312" s="14">
        <f t="shared" si="7"/>
        <v>-1.8281535648994041E-3</v>
      </c>
      <c r="I312" s="14">
        <f t="shared" si="7"/>
        <v>2.1276595744680771E-2</v>
      </c>
      <c r="J312" s="14">
        <f t="shared" si="7"/>
        <v>3.3962264150943389E-2</v>
      </c>
      <c r="K312" s="14">
        <f t="shared" si="7"/>
        <v>-1.2396694214875992E-2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35">
      <c r="A313" s="12">
        <v>44537</v>
      </c>
      <c r="B313" s="20">
        <v>12100</v>
      </c>
      <c r="C313" s="20">
        <v>27350</v>
      </c>
      <c r="D313" s="20">
        <v>9400</v>
      </c>
      <c r="E313" s="20">
        <v>26500</v>
      </c>
      <c r="F313" s="20">
        <v>24200</v>
      </c>
      <c r="G313" s="14">
        <f t="shared" si="7"/>
        <v>8.3333333333333037E-3</v>
      </c>
      <c r="H313" s="14">
        <f t="shared" si="7"/>
        <v>1.2962962962963065E-2</v>
      </c>
      <c r="I313" s="14">
        <f t="shared" si="7"/>
        <v>0</v>
      </c>
      <c r="J313" s="14">
        <f t="shared" si="7"/>
        <v>-1.3035381750465591E-2</v>
      </c>
      <c r="K313" s="14">
        <f t="shared" si="7"/>
        <v>2.5423728813559254E-2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35">
      <c r="A314" s="12">
        <v>44536</v>
      </c>
      <c r="B314" s="20">
        <v>12000</v>
      </c>
      <c r="C314" s="20">
        <v>27000</v>
      </c>
      <c r="D314" s="20">
        <v>9400</v>
      </c>
      <c r="E314" s="20">
        <v>26850</v>
      </c>
      <c r="F314" s="20">
        <v>23600</v>
      </c>
      <c r="G314" s="14">
        <f t="shared" si="7"/>
        <v>8.4033613445377853E-3</v>
      </c>
      <c r="H314" s="14">
        <f t="shared" si="7"/>
        <v>1.5037593984962516E-2</v>
      </c>
      <c r="I314" s="14">
        <f t="shared" si="7"/>
        <v>0</v>
      </c>
      <c r="J314" s="14">
        <f t="shared" si="7"/>
        <v>1.8656716417910779E-3</v>
      </c>
      <c r="K314" s="14">
        <f t="shared" si="7"/>
        <v>-6.3157894736841635E-3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35">
      <c r="A315" s="12">
        <v>44533</v>
      </c>
      <c r="B315" s="20">
        <v>11900</v>
      </c>
      <c r="C315" s="20">
        <v>26600</v>
      </c>
      <c r="D315" s="20">
        <v>9400</v>
      </c>
      <c r="E315" s="20">
        <v>26800</v>
      </c>
      <c r="F315" s="20">
        <v>23750</v>
      </c>
      <c r="G315" s="14">
        <f t="shared" si="7"/>
        <v>1.7094017094017033E-2</v>
      </c>
      <c r="H315" s="14">
        <f t="shared" si="7"/>
        <v>7.575757575757569E-3</v>
      </c>
      <c r="I315" s="14">
        <f t="shared" si="7"/>
        <v>0</v>
      </c>
      <c r="J315" s="14">
        <f t="shared" si="7"/>
        <v>3.7453183520599342E-3</v>
      </c>
      <c r="K315" s="14">
        <f t="shared" si="7"/>
        <v>6.7415730337078594E-2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5">
      <c r="A316" s="12">
        <v>44532</v>
      </c>
      <c r="B316" s="20">
        <v>11700</v>
      </c>
      <c r="C316" s="20">
        <v>26400</v>
      </c>
      <c r="D316" s="20">
        <v>9400</v>
      </c>
      <c r="E316" s="20">
        <v>26700</v>
      </c>
      <c r="F316" s="20">
        <v>22250</v>
      </c>
      <c r="G316" s="14">
        <f t="shared" si="7"/>
        <v>2.6315789473684292E-2</v>
      </c>
      <c r="H316" s="14">
        <f t="shared" si="7"/>
        <v>7.6335877862594437E-3</v>
      </c>
      <c r="I316" s="14">
        <f t="shared" si="7"/>
        <v>-1.0526315789473717E-2</v>
      </c>
      <c r="J316" s="14">
        <f t="shared" si="7"/>
        <v>7.547169811320753E-3</v>
      </c>
      <c r="K316" s="14">
        <f t="shared" si="7"/>
        <v>6.9711538461538547E-2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35">
      <c r="A317" s="12">
        <v>44531</v>
      </c>
      <c r="B317" s="20">
        <v>11400</v>
      </c>
      <c r="C317" s="20">
        <v>26200</v>
      </c>
      <c r="D317" s="20">
        <v>9500</v>
      </c>
      <c r="E317" s="20">
        <v>26500</v>
      </c>
      <c r="F317" s="20">
        <v>20800</v>
      </c>
      <c r="G317" s="14">
        <f t="shared" si="7"/>
        <v>8.8495575221239076E-3</v>
      </c>
      <c r="H317" s="14">
        <f t="shared" si="7"/>
        <v>3.9682539682539764E-2</v>
      </c>
      <c r="I317" s="14">
        <f t="shared" si="7"/>
        <v>4.3956043956044022E-2</v>
      </c>
      <c r="J317" s="14">
        <f t="shared" si="7"/>
        <v>0</v>
      </c>
      <c r="K317" s="14">
        <f t="shared" si="7"/>
        <v>-2.3980815347721673E-3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35">
      <c r="A318" s="12">
        <v>44530</v>
      </c>
      <c r="B318" s="20">
        <v>11300</v>
      </c>
      <c r="C318" s="20">
        <v>25200</v>
      </c>
      <c r="D318" s="20">
        <v>9100</v>
      </c>
      <c r="E318" s="20">
        <v>26500</v>
      </c>
      <c r="F318" s="20">
        <v>20850</v>
      </c>
      <c r="G318" s="14">
        <f t="shared" si="7"/>
        <v>5.6074766355140193E-2</v>
      </c>
      <c r="H318" s="14">
        <f t="shared" si="7"/>
        <v>2.857142857142847E-2</v>
      </c>
      <c r="I318" s="14">
        <f t="shared" si="7"/>
        <v>1.1111111111111072E-2</v>
      </c>
      <c r="J318" s="14">
        <f t="shared" si="7"/>
        <v>3.7878787878788955E-3</v>
      </c>
      <c r="K318" s="14">
        <f t="shared" si="7"/>
        <v>3.473945409429291E-2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5">
      <c r="A319" s="12">
        <v>44529</v>
      </c>
      <c r="B319" s="20">
        <v>10700</v>
      </c>
      <c r="C319" s="20">
        <v>24500</v>
      </c>
      <c r="D319" s="20">
        <v>9000</v>
      </c>
      <c r="E319" s="20">
        <v>26400</v>
      </c>
      <c r="F319" s="20">
        <v>20150</v>
      </c>
      <c r="G319" s="14">
        <f t="shared" si="7"/>
        <v>-1.834862385321101E-2</v>
      </c>
      <c r="H319" s="14">
        <f t="shared" si="7"/>
        <v>-1.2096774193548376E-2</v>
      </c>
      <c r="I319" s="14">
        <f t="shared" si="7"/>
        <v>-1.098901098901095E-2</v>
      </c>
      <c r="J319" s="14">
        <f t="shared" si="7"/>
        <v>3.8022813688212143E-3</v>
      </c>
      <c r="K319" s="14">
        <f t="shared" si="7"/>
        <v>2.5445292620865034E-2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35">
      <c r="A320" s="12">
        <v>44526</v>
      </c>
      <c r="B320" s="20">
        <v>10900</v>
      </c>
      <c r="C320" s="20">
        <v>24800</v>
      </c>
      <c r="D320" s="20">
        <v>9100</v>
      </c>
      <c r="E320" s="20">
        <v>26300</v>
      </c>
      <c r="F320" s="20">
        <v>19650</v>
      </c>
      <c r="G320" s="14">
        <f t="shared" si="7"/>
        <v>9.2592592592593004E-3</v>
      </c>
      <c r="H320" s="14">
        <f t="shared" si="7"/>
        <v>3.3333333333333437E-2</v>
      </c>
      <c r="I320" s="14">
        <f t="shared" si="7"/>
        <v>-1.0869565217391353E-2</v>
      </c>
      <c r="J320" s="14">
        <f t="shared" si="7"/>
        <v>-1.8656716417910446E-2</v>
      </c>
      <c r="K320" s="14">
        <f t="shared" si="7"/>
        <v>4.5212765957446832E-2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35">
      <c r="A321" s="12">
        <v>44525</v>
      </c>
      <c r="B321" s="20">
        <v>10800</v>
      </c>
      <c r="C321" s="20">
        <v>24000</v>
      </c>
      <c r="D321" s="20">
        <v>9200</v>
      </c>
      <c r="E321" s="20">
        <v>26800</v>
      </c>
      <c r="F321" s="20">
        <v>18800</v>
      </c>
      <c r="G321" s="14">
        <f t="shared" si="7"/>
        <v>-4.4247787610619427E-2</v>
      </c>
      <c r="H321" s="14">
        <f t="shared" si="7"/>
        <v>-5.6974459724950854E-2</v>
      </c>
      <c r="I321" s="14">
        <f t="shared" si="7"/>
        <v>-2.1276595744680882E-2</v>
      </c>
      <c r="J321" s="14">
        <f t="shared" si="7"/>
        <v>1.9011406844106515E-2</v>
      </c>
      <c r="K321" s="14">
        <f t="shared" si="7"/>
        <v>-2.083333333333337E-2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35">
      <c r="A322" s="12">
        <v>44524</v>
      </c>
      <c r="B322" s="20">
        <v>11300</v>
      </c>
      <c r="C322" s="20">
        <v>25450</v>
      </c>
      <c r="D322" s="20">
        <v>9400</v>
      </c>
      <c r="E322" s="20">
        <v>26300</v>
      </c>
      <c r="F322" s="20">
        <v>19200</v>
      </c>
      <c r="G322" s="14">
        <f t="shared" si="7"/>
        <v>4.629629629629628E-2</v>
      </c>
      <c r="H322" s="14">
        <f t="shared" si="7"/>
        <v>5.6016597510373467E-2</v>
      </c>
      <c r="I322" s="14">
        <f t="shared" si="7"/>
        <v>4.4444444444444509E-2</v>
      </c>
      <c r="J322" s="14">
        <f t="shared" si="7"/>
        <v>1.1538461538461497E-2</v>
      </c>
      <c r="K322" s="14">
        <f t="shared" si="7"/>
        <v>1.5873015873015817E-2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5">
      <c r="A323" s="12">
        <v>44523</v>
      </c>
      <c r="B323" s="20">
        <v>10800</v>
      </c>
      <c r="C323" s="20">
        <v>24100</v>
      </c>
      <c r="D323" s="20">
        <v>9000</v>
      </c>
      <c r="E323" s="20">
        <v>26000</v>
      </c>
      <c r="F323" s="20">
        <v>18900</v>
      </c>
      <c r="G323" s="14">
        <f t="shared" ref="G323:K373" si="8">B323/B324-1</f>
        <v>-8.4745762711864403E-2</v>
      </c>
      <c r="H323" s="14">
        <f t="shared" si="8"/>
        <v>-6.949806949806947E-2</v>
      </c>
      <c r="I323" s="14">
        <f t="shared" si="8"/>
        <v>-5.2631578947368474E-2</v>
      </c>
      <c r="J323" s="14">
        <f t="shared" si="8"/>
        <v>-1.8867924528301883E-2</v>
      </c>
      <c r="K323" s="14">
        <f t="shared" si="8"/>
        <v>6.7796610169491567E-2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35">
      <c r="A324" s="12">
        <v>44522</v>
      </c>
      <c r="B324" s="20">
        <v>11800</v>
      </c>
      <c r="C324" s="20">
        <v>25900</v>
      </c>
      <c r="D324" s="20">
        <v>9500</v>
      </c>
      <c r="E324" s="20">
        <v>26500</v>
      </c>
      <c r="F324" s="20">
        <v>17700</v>
      </c>
      <c r="G324" s="14">
        <f t="shared" si="8"/>
        <v>-5.600000000000005E-2</v>
      </c>
      <c r="H324" s="14">
        <f t="shared" si="8"/>
        <v>-4.4280442804428E-2</v>
      </c>
      <c r="I324" s="14">
        <f t="shared" si="8"/>
        <v>-5.0000000000000044E-2</v>
      </c>
      <c r="J324" s="14">
        <f t="shared" si="8"/>
        <v>-1.4869888475836479E-2</v>
      </c>
      <c r="K324" s="14">
        <f t="shared" si="8"/>
        <v>-1.939058171745156E-2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5">
      <c r="A325" s="12">
        <v>44519</v>
      </c>
      <c r="B325" s="20">
        <v>12500</v>
      </c>
      <c r="C325" s="20">
        <v>27100</v>
      </c>
      <c r="D325" s="20">
        <v>10000</v>
      </c>
      <c r="E325" s="20">
        <v>26900</v>
      </c>
      <c r="F325" s="20">
        <v>18050</v>
      </c>
      <c r="G325" s="14">
        <f t="shared" si="8"/>
        <v>1.6260162601626105E-2</v>
      </c>
      <c r="H325" s="14">
        <f t="shared" si="8"/>
        <v>-1.0948905109489093E-2</v>
      </c>
      <c r="I325" s="14">
        <f t="shared" si="8"/>
        <v>0</v>
      </c>
      <c r="J325" s="14">
        <f t="shared" si="8"/>
        <v>3.7313432835821558E-3</v>
      </c>
      <c r="K325" s="14">
        <f t="shared" si="8"/>
        <v>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35">
      <c r="A326" s="12">
        <v>44518</v>
      </c>
      <c r="B326" s="20">
        <v>12300</v>
      </c>
      <c r="C326" s="20">
        <v>27400</v>
      </c>
      <c r="D326" s="20">
        <v>10000</v>
      </c>
      <c r="E326" s="20">
        <v>26800</v>
      </c>
      <c r="F326" s="20">
        <v>18050</v>
      </c>
      <c r="G326" s="14">
        <f t="shared" si="8"/>
        <v>0</v>
      </c>
      <c r="H326" s="14">
        <f t="shared" si="8"/>
        <v>-3.6363636363636598E-3</v>
      </c>
      <c r="I326" s="14">
        <f t="shared" si="8"/>
        <v>-9.9009900990099098E-3</v>
      </c>
      <c r="J326" s="14">
        <f t="shared" si="8"/>
        <v>5.6285178236397115E-3</v>
      </c>
      <c r="K326" s="14">
        <f t="shared" si="8"/>
        <v>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35">
      <c r="A327" s="12">
        <v>44517</v>
      </c>
      <c r="B327" s="20">
        <v>12300</v>
      </c>
      <c r="C327" s="20">
        <v>27500</v>
      </c>
      <c r="D327" s="20">
        <v>10100</v>
      </c>
      <c r="E327" s="20">
        <v>26650</v>
      </c>
      <c r="F327" s="20">
        <v>18050</v>
      </c>
      <c r="G327" s="14">
        <f t="shared" si="8"/>
        <v>0</v>
      </c>
      <c r="H327" s="14">
        <f t="shared" si="8"/>
        <v>7.3260073260073E-3</v>
      </c>
      <c r="I327" s="14">
        <f t="shared" si="8"/>
        <v>-1.9417475728155331E-2</v>
      </c>
      <c r="J327" s="14">
        <f t="shared" si="8"/>
        <v>5.6603773584906758E-3</v>
      </c>
      <c r="K327" s="14">
        <f t="shared" si="8"/>
        <v>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35">
      <c r="A328" s="12">
        <v>44516</v>
      </c>
      <c r="B328" s="20">
        <v>12300</v>
      </c>
      <c r="C328" s="20">
        <v>27300</v>
      </c>
      <c r="D328" s="20">
        <v>10300</v>
      </c>
      <c r="E328" s="20">
        <v>26500</v>
      </c>
      <c r="F328" s="20">
        <v>18050</v>
      </c>
      <c r="G328" s="14">
        <f t="shared" si="8"/>
        <v>-1.6000000000000014E-2</v>
      </c>
      <c r="H328" s="14">
        <f t="shared" si="8"/>
        <v>-3.703703703703709E-2</v>
      </c>
      <c r="I328" s="14">
        <f t="shared" si="8"/>
        <v>9.8039215686274161E-3</v>
      </c>
      <c r="J328" s="14">
        <f t="shared" si="8"/>
        <v>-3.7593984962406291E-3</v>
      </c>
      <c r="K328" s="14">
        <f t="shared" si="8"/>
        <v>-5.5096418732781816E-3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35">
      <c r="A329" s="12">
        <v>44515</v>
      </c>
      <c r="B329" s="20">
        <v>12500</v>
      </c>
      <c r="C329" s="20">
        <v>28350</v>
      </c>
      <c r="D329" s="20">
        <v>10200</v>
      </c>
      <c r="E329" s="20">
        <v>26600</v>
      </c>
      <c r="F329" s="20">
        <v>18150</v>
      </c>
      <c r="G329" s="14">
        <f t="shared" si="8"/>
        <v>-7.9365079365079083E-3</v>
      </c>
      <c r="H329" s="14">
        <f t="shared" si="8"/>
        <v>3.0909090909090997E-2</v>
      </c>
      <c r="I329" s="14">
        <f t="shared" si="8"/>
        <v>2.0000000000000018E-2</v>
      </c>
      <c r="J329" s="14">
        <f t="shared" si="8"/>
        <v>-3.7453183520599342E-3</v>
      </c>
      <c r="K329" s="14">
        <f t="shared" si="8"/>
        <v>-2.7472527472527375E-3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35">
      <c r="A330" s="12">
        <v>44512</v>
      </c>
      <c r="B330" s="20">
        <v>12600</v>
      </c>
      <c r="C330" s="20">
        <v>27500</v>
      </c>
      <c r="D330" s="20">
        <v>10000</v>
      </c>
      <c r="E330" s="20">
        <v>26700</v>
      </c>
      <c r="F330" s="20">
        <v>18200</v>
      </c>
      <c r="G330" s="14">
        <f t="shared" si="8"/>
        <v>1.6129032258064502E-2</v>
      </c>
      <c r="H330" s="14">
        <f t="shared" si="8"/>
        <v>-3.6231884057971175E-3</v>
      </c>
      <c r="I330" s="14">
        <f t="shared" si="8"/>
        <v>-9.9009900990099098E-3</v>
      </c>
      <c r="J330" s="14">
        <f t="shared" si="8"/>
        <v>3.759398496240518E-3</v>
      </c>
      <c r="K330" s="14">
        <f t="shared" si="8"/>
        <v>-2.739726027397249E-3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35">
      <c r="A331" s="12">
        <v>44511</v>
      </c>
      <c r="B331" s="20">
        <v>12400</v>
      </c>
      <c r="C331" s="20">
        <v>27600</v>
      </c>
      <c r="D331" s="20">
        <v>10100</v>
      </c>
      <c r="E331" s="20">
        <v>26600</v>
      </c>
      <c r="F331" s="20">
        <v>18250</v>
      </c>
      <c r="G331" s="14">
        <f t="shared" si="8"/>
        <v>0</v>
      </c>
      <c r="H331" s="14">
        <f t="shared" si="8"/>
        <v>1.4705882352941124E-2</v>
      </c>
      <c r="I331" s="14">
        <f t="shared" si="8"/>
        <v>0</v>
      </c>
      <c r="J331" s="14">
        <f t="shared" si="8"/>
        <v>7.575757575757569E-3</v>
      </c>
      <c r="K331" s="14">
        <f t="shared" si="8"/>
        <v>1.1080332409972193E-2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35">
      <c r="A332" s="12">
        <v>44510</v>
      </c>
      <c r="B332" s="20">
        <v>12400</v>
      </c>
      <c r="C332" s="20">
        <v>27200</v>
      </c>
      <c r="D332" s="20">
        <v>10100</v>
      </c>
      <c r="E332" s="20">
        <v>26400</v>
      </c>
      <c r="F332" s="20">
        <v>18050</v>
      </c>
      <c r="G332" s="14">
        <f t="shared" si="8"/>
        <v>0</v>
      </c>
      <c r="H332" s="14">
        <f t="shared" si="8"/>
        <v>-7.2992700729926918E-3</v>
      </c>
      <c r="I332" s="14">
        <f t="shared" si="8"/>
        <v>2.020202020202011E-2</v>
      </c>
      <c r="J332" s="14">
        <f t="shared" si="8"/>
        <v>0</v>
      </c>
      <c r="K332" s="14">
        <f t="shared" si="8"/>
        <v>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35">
      <c r="A333" s="12">
        <v>44509</v>
      </c>
      <c r="B333" s="20">
        <v>12400</v>
      </c>
      <c r="C333" s="20">
        <v>27400</v>
      </c>
      <c r="D333" s="20">
        <v>9900</v>
      </c>
      <c r="E333" s="20">
        <v>26400</v>
      </c>
      <c r="F333" s="20">
        <v>18050</v>
      </c>
      <c r="G333" s="14">
        <f t="shared" si="8"/>
        <v>0</v>
      </c>
      <c r="H333" s="14">
        <f t="shared" si="8"/>
        <v>-1.8214936247723523E-3</v>
      </c>
      <c r="I333" s="14">
        <f t="shared" si="8"/>
        <v>1.0204081632652962E-2</v>
      </c>
      <c r="J333" s="14">
        <f t="shared" si="8"/>
        <v>-3.7735849056603765E-3</v>
      </c>
      <c r="K333" s="14">
        <f t="shared" si="8"/>
        <v>-1.0958904109588996E-2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35">
      <c r="A334" s="12">
        <v>44508</v>
      </c>
      <c r="B334" s="20">
        <v>12400</v>
      </c>
      <c r="C334" s="20">
        <v>27450</v>
      </c>
      <c r="D334" s="20">
        <v>9800</v>
      </c>
      <c r="E334" s="20">
        <v>26500</v>
      </c>
      <c r="F334" s="20">
        <v>18250</v>
      </c>
      <c r="G334" s="14">
        <f t="shared" si="8"/>
        <v>-8.0000000000000071E-3</v>
      </c>
      <c r="H334" s="14">
        <f t="shared" si="8"/>
        <v>0</v>
      </c>
      <c r="I334" s="14">
        <f t="shared" si="8"/>
        <v>-1.0101010101010055E-2</v>
      </c>
      <c r="J334" s="14">
        <f t="shared" si="8"/>
        <v>-7.4906367041198685E-3</v>
      </c>
      <c r="K334" s="14">
        <f t="shared" si="8"/>
        <v>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35">
      <c r="A335" s="12">
        <v>44505</v>
      </c>
      <c r="B335" s="20">
        <v>12500</v>
      </c>
      <c r="C335" s="20">
        <v>27450</v>
      </c>
      <c r="D335" s="20">
        <v>9900</v>
      </c>
      <c r="E335" s="20">
        <v>26700</v>
      </c>
      <c r="F335" s="20">
        <v>18250</v>
      </c>
      <c r="G335" s="14">
        <f t="shared" si="8"/>
        <v>1.6260162601626105E-2</v>
      </c>
      <c r="H335" s="14">
        <f t="shared" si="8"/>
        <v>1.4787430683918634E-2</v>
      </c>
      <c r="I335" s="14">
        <f t="shared" si="8"/>
        <v>2.0618556701030855E-2</v>
      </c>
      <c r="J335" s="14">
        <f t="shared" si="8"/>
        <v>7.547169811320753E-3</v>
      </c>
      <c r="K335" s="14">
        <f t="shared" si="8"/>
        <v>1.1080332409972193E-2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35">
      <c r="A336" s="12">
        <v>44504</v>
      </c>
      <c r="B336" s="20">
        <v>12300</v>
      </c>
      <c r="C336" s="20">
        <v>27050</v>
      </c>
      <c r="D336" s="20">
        <v>9700</v>
      </c>
      <c r="E336" s="20">
        <v>26500</v>
      </c>
      <c r="F336" s="20">
        <v>18050</v>
      </c>
      <c r="G336" s="14">
        <f t="shared" si="8"/>
        <v>-8.0645161290322509E-3</v>
      </c>
      <c r="H336" s="14">
        <f t="shared" si="8"/>
        <v>-5.5147058823529216E-3</v>
      </c>
      <c r="I336" s="14">
        <f t="shared" si="8"/>
        <v>0</v>
      </c>
      <c r="J336" s="14">
        <f t="shared" si="8"/>
        <v>-3.7593984962406291E-3</v>
      </c>
      <c r="K336" s="14">
        <f t="shared" si="8"/>
        <v>-2.7624309392265678E-3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35">
      <c r="A337" s="12">
        <v>44503</v>
      </c>
      <c r="B337" s="20">
        <v>12400</v>
      </c>
      <c r="C337" s="20">
        <v>27200</v>
      </c>
      <c r="D337" s="20">
        <v>9700</v>
      </c>
      <c r="E337" s="20">
        <v>26600</v>
      </c>
      <c r="F337" s="20">
        <v>18100</v>
      </c>
      <c r="G337" s="14">
        <f t="shared" si="8"/>
        <v>0</v>
      </c>
      <c r="H337" s="14">
        <f t="shared" si="8"/>
        <v>1.8726591760299671E-2</v>
      </c>
      <c r="I337" s="14">
        <f t="shared" si="8"/>
        <v>0</v>
      </c>
      <c r="J337" s="14">
        <f t="shared" si="8"/>
        <v>-1.4814814814814836E-2</v>
      </c>
      <c r="K337" s="14">
        <f t="shared" si="8"/>
        <v>5.5555555555555358E-3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5">
      <c r="A338" s="12">
        <v>44502</v>
      </c>
      <c r="B338" s="20">
        <v>12400</v>
      </c>
      <c r="C338" s="20">
        <v>26700</v>
      </c>
      <c r="D338" s="20">
        <v>9700</v>
      </c>
      <c r="E338" s="20">
        <v>27000</v>
      </c>
      <c r="F338" s="20">
        <v>18000</v>
      </c>
      <c r="G338" s="14">
        <f t="shared" si="8"/>
        <v>2.4793388429751984E-2</v>
      </c>
      <c r="H338" s="14">
        <f t="shared" si="8"/>
        <v>1.5209125475285079E-2</v>
      </c>
      <c r="I338" s="14">
        <f t="shared" si="8"/>
        <v>0</v>
      </c>
      <c r="J338" s="14">
        <f t="shared" si="8"/>
        <v>3.7174721189590088E-3</v>
      </c>
      <c r="K338" s="14">
        <f t="shared" si="8"/>
        <v>2.2727272727272707E-2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35">
      <c r="A339" s="12">
        <v>44501</v>
      </c>
      <c r="B339" s="20">
        <v>12100</v>
      </c>
      <c r="C339" s="20">
        <v>26300</v>
      </c>
      <c r="D339" s="20">
        <v>9700</v>
      </c>
      <c r="E339" s="20">
        <v>26900</v>
      </c>
      <c r="F339" s="20">
        <v>17600</v>
      </c>
      <c r="G339" s="14">
        <f t="shared" si="8"/>
        <v>0</v>
      </c>
      <c r="H339" s="14">
        <f t="shared" si="8"/>
        <v>-1.8975332068311701E-3</v>
      </c>
      <c r="I339" s="14">
        <f t="shared" si="8"/>
        <v>1.0416666666666741E-2</v>
      </c>
      <c r="J339" s="14">
        <f t="shared" si="8"/>
        <v>-1.1029411764705843E-2</v>
      </c>
      <c r="K339" s="14">
        <f t="shared" si="8"/>
        <v>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5">
      <c r="A340" s="12">
        <v>44498</v>
      </c>
      <c r="B340" s="20">
        <v>12100</v>
      </c>
      <c r="C340" s="20">
        <v>26350</v>
      </c>
      <c r="D340" s="20">
        <v>9600</v>
      </c>
      <c r="E340" s="20">
        <v>27200</v>
      </c>
      <c r="F340" s="20">
        <v>17600</v>
      </c>
      <c r="G340" s="14">
        <f t="shared" si="8"/>
        <v>-8.1967213114754189E-3</v>
      </c>
      <c r="H340" s="14">
        <f t="shared" si="8"/>
        <v>5.7251908396946938E-3</v>
      </c>
      <c r="I340" s="14">
        <f t="shared" si="8"/>
        <v>1.0526315789473717E-2</v>
      </c>
      <c r="J340" s="14">
        <f t="shared" si="8"/>
        <v>-3.66300366300365E-3</v>
      </c>
      <c r="K340" s="14">
        <f t="shared" si="8"/>
        <v>2.8490028490029129E-3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5">
      <c r="A341" s="12">
        <v>44497</v>
      </c>
      <c r="B341" s="20">
        <v>12200</v>
      </c>
      <c r="C341" s="20">
        <v>26200</v>
      </c>
      <c r="D341" s="20">
        <v>9500</v>
      </c>
      <c r="E341" s="20">
        <v>27300</v>
      </c>
      <c r="F341" s="20">
        <v>17550</v>
      </c>
      <c r="G341" s="14">
        <f t="shared" si="8"/>
        <v>2.5210084033613356E-2</v>
      </c>
      <c r="H341" s="14">
        <f t="shared" si="8"/>
        <v>1.5503875968992276E-2</v>
      </c>
      <c r="I341" s="14">
        <f t="shared" si="8"/>
        <v>-2.0618556701030966E-2</v>
      </c>
      <c r="J341" s="14">
        <f t="shared" si="8"/>
        <v>3.6764705882352811E-3</v>
      </c>
      <c r="K341" s="14">
        <f t="shared" si="8"/>
        <v>2.0348837209302362E-2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35">
      <c r="A342" s="12">
        <v>44496</v>
      </c>
      <c r="B342" s="20">
        <v>11900</v>
      </c>
      <c r="C342" s="20">
        <v>25800</v>
      </c>
      <c r="D342" s="20">
        <v>9700</v>
      </c>
      <c r="E342" s="20">
        <v>27200</v>
      </c>
      <c r="F342" s="20">
        <v>17200</v>
      </c>
      <c r="G342" s="14">
        <f t="shared" si="8"/>
        <v>-8.3333333333333037E-3</v>
      </c>
      <c r="H342" s="14">
        <f t="shared" si="8"/>
        <v>-5.4945054945054972E-2</v>
      </c>
      <c r="I342" s="14">
        <f t="shared" si="8"/>
        <v>-2.0202020202020221E-2</v>
      </c>
      <c r="J342" s="14">
        <f t="shared" si="8"/>
        <v>0</v>
      </c>
      <c r="K342" s="14">
        <f t="shared" si="8"/>
        <v>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35">
      <c r="A343" s="12">
        <v>44495</v>
      </c>
      <c r="B343" s="20">
        <v>12000</v>
      </c>
      <c r="C343" s="20">
        <v>27300</v>
      </c>
      <c r="D343" s="20">
        <v>9900</v>
      </c>
      <c r="E343" s="20">
        <v>27200</v>
      </c>
      <c r="F343" s="20">
        <v>17200</v>
      </c>
      <c r="G343" s="14">
        <f t="shared" si="8"/>
        <v>-3.2258064516129004E-2</v>
      </c>
      <c r="H343" s="14">
        <f t="shared" si="8"/>
        <v>-5.3726169844020788E-2</v>
      </c>
      <c r="I343" s="14">
        <f t="shared" si="8"/>
        <v>-1.980198019801982E-2</v>
      </c>
      <c r="J343" s="14">
        <f t="shared" si="8"/>
        <v>-2.1582733812949617E-2</v>
      </c>
      <c r="K343" s="14">
        <f t="shared" si="8"/>
        <v>-5.7534246575342451E-2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35">
      <c r="A344" s="12">
        <v>44494</v>
      </c>
      <c r="B344" s="20">
        <v>12400</v>
      </c>
      <c r="C344" s="20">
        <v>28850</v>
      </c>
      <c r="D344" s="20">
        <v>10100</v>
      </c>
      <c r="E344" s="20">
        <v>27800</v>
      </c>
      <c r="F344" s="20">
        <v>18250</v>
      </c>
      <c r="G344" s="14">
        <f t="shared" si="8"/>
        <v>0</v>
      </c>
      <c r="H344" s="14">
        <f t="shared" si="8"/>
        <v>-2.2033898305084731E-2</v>
      </c>
      <c r="I344" s="14">
        <f t="shared" si="8"/>
        <v>-9.8039215686274161E-3</v>
      </c>
      <c r="J344" s="14">
        <f t="shared" si="8"/>
        <v>0</v>
      </c>
      <c r="K344" s="14">
        <f t="shared" si="8"/>
        <v>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5">
      <c r="A345" s="12">
        <v>44491</v>
      </c>
      <c r="B345" s="20">
        <v>12400</v>
      </c>
      <c r="C345" s="20">
        <v>29500</v>
      </c>
      <c r="D345" s="20">
        <v>10200</v>
      </c>
      <c r="E345" s="20">
        <v>27800</v>
      </c>
      <c r="F345" s="20">
        <v>18250</v>
      </c>
      <c r="G345" s="14">
        <f t="shared" si="8"/>
        <v>-8.0000000000000071E-3</v>
      </c>
      <c r="H345" s="14">
        <f t="shared" si="8"/>
        <v>-1.6666666666666718E-2</v>
      </c>
      <c r="I345" s="14">
        <f t="shared" si="8"/>
        <v>9.9009900990099098E-3</v>
      </c>
      <c r="J345" s="14">
        <f t="shared" si="8"/>
        <v>-1.0676156583629859E-2</v>
      </c>
      <c r="K345" s="14">
        <f t="shared" si="8"/>
        <v>-1.3513513513513487E-2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35">
      <c r="A346" s="12">
        <v>44490</v>
      </c>
      <c r="B346" s="20">
        <v>12500</v>
      </c>
      <c r="C346" s="20">
        <v>30000</v>
      </c>
      <c r="D346" s="20">
        <v>10100</v>
      </c>
      <c r="E346" s="20">
        <v>28100</v>
      </c>
      <c r="F346" s="20">
        <v>18500</v>
      </c>
      <c r="G346" s="14">
        <f t="shared" si="8"/>
        <v>-2.34375E-2</v>
      </c>
      <c r="H346" s="14">
        <f t="shared" si="8"/>
        <v>-1.8003273322422242E-2</v>
      </c>
      <c r="I346" s="14">
        <f t="shared" si="8"/>
        <v>-2.8846153846153855E-2</v>
      </c>
      <c r="J346" s="14">
        <f t="shared" si="8"/>
        <v>2.3679417122040025E-2</v>
      </c>
      <c r="K346" s="14">
        <f t="shared" si="8"/>
        <v>-1.5957446808510634E-2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35">
      <c r="A347" s="12">
        <v>44489</v>
      </c>
      <c r="B347" s="20">
        <v>12800</v>
      </c>
      <c r="C347" s="20">
        <v>30550</v>
      </c>
      <c r="D347" s="20">
        <v>10400</v>
      </c>
      <c r="E347" s="20">
        <v>27450</v>
      </c>
      <c r="F347" s="20">
        <v>18800</v>
      </c>
      <c r="G347" s="14">
        <f t="shared" si="8"/>
        <v>7.8740157480314821E-3</v>
      </c>
      <c r="H347" s="14">
        <f t="shared" si="8"/>
        <v>-8.116883116883078E-3</v>
      </c>
      <c r="I347" s="14">
        <f t="shared" si="8"/>
        <v>2.9702970297029729E-2</v>
      </c>
      <c r="J347" s="14">
        <f t="shared" si="8"/>
        <v>1.8248175182482562E-3</v>
      </c>
      <c r="K347" s="14">
        <f t="shared" si="8"/>
        <v>5.3475935828877219E-3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5">
      <c r="A348" s="12">
        <v>44488</v>
      </c>
      <c r="B348" s="20">
        <v>12700</v>
      </c>
      <c r="C348" s="20">
        <v>30800</v>
      </c>
      <c r="D348" s="20">
        <v>10100</v>
      </c>
      <c r="E348" s="20">
        <v>27400</v>
      </c>
      <c r="F348" s="20">
        <v>18700</v>
      </c>
      <c r="G348" s="14">
        <f t="shared" si="8"/>
        <v>0</v>
      </c>
      <c r="H348" s="14">
        <f t="shared" si="8"/>
        <v>1.650165016501659E-2</v>
      </c>
      <c r="I348" s="14">
        <f t="shared" si="8"/>
        <v>1.0000000000000009E-2</v>
      </c>
      <c r="J348" s="14">
        <f t="shared" si="8"/>
        <v>0</v>
      </c>
      <c r="K348" s="14">
        <f t="shared" si="8"/>
        <v>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35">
      <c r="A349" s="12">
        <v>44487</v>
      </c>
      <c r="B349" s="20">
        <v>12700</v>
      </c>
      <c r="C349" s="20">
        <v>30300</v>
      </c>
      <c r="D349" s="20">
        <v>10000</v>
      </c>
      <c r="E349" s="20">
        <v>27400</v>
      </c>
      <c r="F349" s="20">
        <v>18700</v>
      </c>
      <c r="G349" s="14">
        <f t="shared" si="8"/>
        <v>3.2520325203251987E-2</v>
      </c>
      <c r="H349" s="14">
        <f t="shared" si="8"/>
        <v>5.2083333333333259E-2</v>
      </c>
      <c r="I349" s="14">
        <f t="shared" si="8"/>
        <v>2.0408163265306145E-2</v>
      </c>
      <c r="J349" s="14">
        <f t="shared" si="8"/>
        <v>1.1070110701107083E-2</v>
      </c>
      <c r="K349" s="14">
        <f t="shared" si="8"/>
        <v>2.1857923497267784E-2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5">
      <c r="A350" s="12">
        <v>44484</v>
      </c>
      <c r="B350" s="20">
        <v>12300</v>
      </c>
      <c r="C350" s="20">
        <v>28800</v>
      </c>
      <c r="D350" s="20">
        <v>9800</v>
      </c>
      <c r="E350" s="20">
        <v>27100</v>
      </c>
      <c r="F350" s="20">
        <v>18300</v>
      </c>
      <c r="G350" s="14">
        <f t="shared" si="8"/>
        <v>-8.0645161290322509E-3</v>
      </c>
      <c r="H350" s="14">
        <f t="shared" si="8"/>
        <v>0</v>
      </c>
      <c r="I350" s="14">
        <f t="shared" si="8"/>
        <v>0</v>
      </c>
      <c r="J350" s="14">
        <f t="shared" si="8"/>
        <v>0</v>
      </c>
      <c r="K350" s="14">
        <f t="shared" si="8"/>
        <v>5.494505494505475E-3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35">
      <c r="A351" s="12">
        <v>44483</v>
      </c>
      <c r="B351" s="20">
        <v>12400</v>
      </c>
      <c r="C351" s="20">
        <v>28800</v>
      </c>
      <c r="D351" s="20">
        <v>9800</v>
      </c>
      <c r="E351" s="20">
        <v>27100</v>
      </c>
      <c r="F351" s="20">
        <v>18200</v>
      </c>
      <c r="G351" s="14">
        <f t="shared" si="8"/>
        <v>8.1300813008129413E-3</v>
      </c>
      <c r="H351" s="14">
        <f t="shared" si="8"/>
        <v>4.7272727272727355E-2</v>
      </c>
      <c r="I351" s="14">
        <f t="shared" si="8"/>
        <v>0</v>
      </c>
      <c r="J351" s="14">
        <f t="shared" si="8"/>
        <v>0</v>
      </c>
      <c r="K351" s="14">
        <f t="shared" si="8"/>
        <v>-5.464480874316946E-3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35">
      <c r="A352" s="12">
        <v>44482</v>
      </c>
      <c r="B352" s="20">
        <v>12300</v>
      </c>
      <c r="C352" s="20">
        <v>27500</v>
      </c>
      <c r="D352" s="20">
        <v>9800</v>
      </c>
      <c r="E352" s="20">
        <v>27100</v>
      </c>
      <c r="F352" s="20">
        <v>18300</v>
      </c>
      <c r="G352" s="14">
        <f t="shared" si="8"/>
        <v>3.3613445378151363E-2</v>
      </c>
      <c r="H352" s="14">
        <f t="shared" si="8"/>
        <v>4.961832061068705E-2</v>
      </c>
      <c r="I352" s="14">
        <f t="shared" si="8"/>
        <v>3.1578947368421151E-2</v>
      </c>
      <c r="J352" s="14">
        <f t="shared" si="8"/>
        <v>7.4349442379182396E-3</v>
      </c>
      <c r="K352" s="14">
        <f t="shared" si="8"/>
        <v>1.6666666666666607E-2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35">
      <c r="A353" s="12">
        <v>44481</v>
      </c>
      <c r="B353" s="20">
        <v>11900</v>
      </c>
      <c r="C353" s="20">
        <v>26200</v>
      </c>
      <c r="D353" s="20">
        <v>9500</v>
      </c>
      <c r="E353" s="20">
        <v>26900</v>
      </c>
      <c r="F353" s="20">
        <v>18000</v>
      </c>
      <c r="G353" s="14">
        <f t="shared" si="8"/>
        <v>-4.8000000000000043E-2</v>
      </c>
      <c r="H353" s="14">
        <f t="shared" si="8"/>
        <v>-2.0560747663551426E-2</v>
      </c>
      <c r="I353" s="14">
        <f t="shared" si="8"/>
        <v>-5.9405940594059459E-2</v>
      </c>
      <c r="J353" s="14">
        <f t="shared" si="8"/>
        <v>-7.3800738007380184E-3</v>
      </c>
      <c r="K353" s="14">
        <f t="shared" si="8"/>
        <v>-5.2631578947368474E-2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35">
      <c r="A354" s="12">
        <v>44480</v>
      </c>
      <c r="B354" s="20">
        <v>12500</v>
      </c>
      <c r="C354" s="20">
        <v>26750</v>
      </c>
      <c r="D354" s="20">
        <v>10100</v>
      </c>
      <c r="E354" s="20">
        <v>27100</v>
      </c>
      <c r="F354" s="20">
        <v>19000</v>
      </c>
      <c r="G354" s="14">
        <f t="shared" si="8"/>
        <v>0</v>
      </c>
      <c r="H354" s="14">
        <f t="shared" si="8"/>
        <v>-7.4211502782931538E-3</v>
      </c>
      <c r="I354" s="14">
        <f t="shared" si="8"/>
        <v>1.0000000000000009E-2</v>
      </c>
      <c r="J354" s="14">
        <f t="shared" si="8"/>
        <v>0</v>
      </c>
      <c r="K354" s="14">
        <f t="shared" si="8"/>
        <v>-3.7974683544303778E-2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35">
      <c r="A355" s="12">
        <v>44477</v>
      </c>
      <c r="B355" s="20">
        <v>12500</v>
      </c>
      <c r="C355" s="20">
        <v>26950</v>
      </c>
      <c r="D355" s="20">
        <v>10000</v>
      </c>
      <c r="E355" s="20">
        <v>27100</v>
      </c>
      <c r="F355" s="20">
        <v>19750</v>
      </c>
      <c r="G355" s="14">
        <f t="shared" si="8"/>
        <v>-8.0882352941176516E-2</v>
      </c>
      <c r="H355" s="14">
        <f t="shared" si="8"/>
        <v>-6.9084628670120884E-2</v>
      </c>
      <c r="I355" s="14">
        <f t="shared" si="8"/>
        <v>-9.0909090909090939E-2</v>
      </c>
      <c r="J355" s="14">
        <f t="shared" si="8"/>
        <v>-7.3260073260073E-3</v>
      </c>
      <c r="K355" s="14">
        <f t="shared" si="8"/>
        <v>-6.8396226415094352E-2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35">
      <c r="A356" s="12">
        <v>44476</v>
      </c>
      <c r="B356" s="20">
        <v>13600</v>
      </c>
      <c r="C356" s="20">
        <v>28950</v>
      </c>
      <c r="D356" s="20">
        <v>11000</v>
      </c>
      <c r="E356" s="20">
        <v>27300</v>
      </c>
      <c r="F356" s="20">
        <v>21200</v>
      </c>
      <c r="G356" s="14">
        <f t="shared" si="8"/>
        <v>-7.2992700729926918E-3</v>
      </c>
      <c r="H356" s="14">
        <f t="shared" si="8"/>
        <v>-1.8644067796610209E-2</v>
      </c>
      <c r="I356" s="14">
        <f t="shared" si="8"/>
        <v>0</v>
      </c>
      <c r="J356" s="14">
        <f t="shared" si="8"/>
        <v>0</v>
      </c>
      <c r="K356" s="14">
        <f t="shared" si="8"/>
        <v>4.1769041769041726E-2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35">
      <c r="A357" s="12">
        <v>44475</v>
      </c>
      <c r="B357" s="20">
        <v>13700</v>
      </c>
      <c r="C357" s="20">
        <v>29500</v>
      </c>
      <c r="D357" s="20">
        <v>11000</v>
      </c>
      <c r="E357" s="20">
        <v>27300</v>
      </c>
      <c r="F357" s="20">
        <v>20350</v>
      </c>
      <c r="G357" s="14">
        <f t="shared" si="8"/>
        <v>-2.1428571428571463E-2</v>
      </c>
      <c r="H357" s="14">
        <f t="shared" si="8"/>
        <v>-1.5025041736227096E-2</v>
      </c>
      <c r="I357" s="14">
        <f t="shared" si="8"/>
        <v>-1.7857142857142905E-2</v>
      </c>
      <c r="J357" s="14">
        <f t="shared" si="8"/>
        <v>-7.2727272727273196E-3</v>
      </c>
      <c r="K357" s="14">
        <f t="shared" si="8"/>
        <v>3.8265306122448939E-2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35">
      <c r="A358" s="12">
        <v>44474</v>
      </c>
      <c r="B358" s="20">
        <v>14000</v>
      </c>
      <c r="C358" s="20">
        <v>29950</v>
      </c>
      <c r="D358" s="20">
        <v>11200</v>
      </c>
      <c r="E358" s="20">
        <v>27500</v>
      </c>
      <c r="F358" s="20">
        <v>19600</v>
      </c>
      <c r="G358" s="14">
        <f t="shared" si="8"/>
        <v>4.4776119402984982E-2</v>
      </c>
      <c r="H358" s="14">
        <f t="shared" si="8"/>
        <v>4.5375218150087271E-2</v>
      </c>
      <c r="I358" s="14">
        <f t="shared" si="8"/>
        <v>1.8181818181818077E-2</v>
      </c>
      <c r="J358" s="14">
        <f t="shared" si="8"/>
        <v>1.1029411764705843E-2</v>
      </c>
      <c r="K358" s="14">
        <f t="shared" si="8"/>
        <v>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5">
      <c r="A359" s="12">
        <v>44473</v>
      </c>
      <c r="B359" s="20">
        <v>13400</v>
      </c>
      <c r="C359" s="20">
        <v>28650</v>
      </c>
      <c r="D359" s="20">
        <v>11000</v>
      </c>
      <c r="E359" s="20">
        <v>27200</v>
      </c>
      <c r="F359" s="20">
        <v>19600</v>
      </c>
      <c r="G359" s="14">
        <f t="shared" si="8"/>
        <v>1.5151515151515138E-2</v>
      </c>
      <c r="H359" s="14">
        <f t="shared" si="8"/>
        <v>6.9029850746268551E-2</v>
      </c>
      <c r="I359" s="14">
        <f t="shared" si="8"/>
        <v>5.7692307692307709E-2</v>
      </c>
      <c r="J359" s="14">
        <f t="shared" si="8"/>
        <v>3.6900369003689537E-3</v>
      </c>
      <c r="K359" s="14">
        <f t="shared" si="8"/>
        <v>1.5544041450777257E-2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35">
      <c r="A360" s="12">
        <v>44470</v>
      </c>
      <c r="B360" s="20">
        <v>13200</v>
      </c>
      <c r="C360" s="20">
        <v>26800</v>
      </c>
      <c r="D360" s="20">
        <v>10400</v>
      </c>
      <c r="E360" s="20">
        <v>27100</v>
      </c>
      <c r="F360" s="20">
        <v>19300</v>
      </c>
      <c r="G360" s="14">
        <f t="shared" si="8"/>
        <v>-1.4925373134328401E-2</v>
      </c>
      <c r="H360" s="14">
        <f t="shared" si="8"/>
        <v>3.7453183520599342E-3</v>
      </c>
      <c r="I360" s="14">
        <f t="shared" si="8"/>
        <v>9.473684210526323E-2</v>
      </c>
      <c r="J360" s="14">
        <f t="shared" si="8"/>
        <v>0</v>
      </c>
      <c r="K360" s="14">
        <f t="shared" si="8"/>
        <v>-1.025641025641022E-2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35">
      <c r="A361" s="12">
        <v>44469</v>
      </c>
      <c r="B361" s="20">
        <v>13400</v>
      </c>
      <c r="C361" s="20">
        <v>26700</v>
      </c>
      <c r="D361" s="20">
        <v>9500</v>
      </c>
      <c r="E361" s="20">
        <v>27100</v>
      </c>
      <c r="F361" s="20">
        <v>19500</v>
      </c>
      <c r="G361" s="14">
        <f t="shared" si="8"/>
        <v>2.2900763358778553E-2</v>
      </c>
      <c r="H361" s="14">
        <f t="shared" si="8"/>
        <v>0</v>
      </c>
      <c r="I361" s="14">
        <f t="shared" si="8"/>
        <v>0</v>
      </c>
      <c r="J361" s="14">
        <f t="shared" si="8"/>
        <v>0</v>
      </c>
      <c r="K361" s="14">
        <f t="shared" si="8"/>
        <v>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35">
      <c r="A362" s="12">
        <v>44468</v>
      </c>
      <c r="B362" s="20">
        <v>13100</v>
      </c>
      <c r="C362" s="20">
        <v>26700</v>
      </c>
      <c r="D362" s="20">
        <v>9500</v>
      </c>
      <c r="E362" s="20">
        <v>27100</v>
      </c>
      <c r="F362" s="20">
        <v>19500</v>
      </c>
      <c r="G362" s="14">
        <f t="shared" si="8"/>
        <v>2.34375E-2</v>
      </c>
      <c r="H362" s="14">
        <f t="shared" si="8"/>
        <v>7.547169811320753E-3</v>
      </c>
      <c r="I362" s="14">
        <f t="shared" si="8"/>
        <v>0</v>
      </c>
      <c r="J362" s="14">
        <f t="shared" si="8"/>
        <v>-3.6764705882352811E-3</v>
      </c>
      <c r="K362" s="14">
        <f t="shared" si="8"/>
        <v>-1.2658227848101222E-2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35">
      <c r="A363" s="12">
        <v>44467</v>
      </c>
      <c r="B363" s="20">
        <v>12800</v>
      </c>
      <c r="C363" s="20">
        <v>26500</v>
      </c>
      <c r="D363" s="20">
        <v>9500</v>
      </c>
      <c r="E363" s="20">
        <v>27200</v>
      </c>
      <c r="F363" s="20">
        <v>19750</v>
      </c>
      <c r="G363" s="14">
        <f t="shared" si="8"/>
        <v>1.5873015873015817E-2</v>
      </c>
      <c r="H363" s="14">
        <f t="shared" si="8"/>
        <v>-7.4906367041198685E-3</v>
      </c>
      <c r="I363" s="14">
        <f t="shared" si="8"/>
        <v>1.0638297872340496E-2</v>
      </c>
      <c r="J363" s="14">
        <f t="shared" si="8"/>
        <v>0</v>
      </c>
      <c r="K363" s="14">
        <f t="shared" si="8"/>
        <v>3.1331592689294974E-2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35">
      <c r="A364" s="12">
        <v>44466</v>
      </c>
      <c r="B364" s="20">
        <v>12600</v>
      </c>
      <c r="C364" s="20">
        <v>26700</v>
      </c>
      <c r="D364" s="20">
        <v>9400</v>
      </c>
      <c r="E364" s="20">
        <v>27200</v>
      </c>
      <c r="F364" s="20">
        <v>19150</v>
      </c>
      <c r="G364" s="14">
        <f t="shared" si="8"/>
        <v>0</v>
      </c>
      <c r="H364" s="14">
        <f t="shared" si="8"/>
        <v>-1.1111111111111072E-2</v>
      </c>
      <c r="I364" s="14">
        <f t="shared" si="8"/>
        <v>0</v>
      </c>
      <c r="J364" s="14">
        <f t="shared" si="8"/>
        <v>-1.8348623853210455E-3</v>
      </c>
      <c r="K364" s="14">
        <f t="shared" si="8"/>
        <v>2.6178010471205049E-3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35">
      <c r="A365" s="12">
        <v>44463</v>
      </c>
      <c r="B365" s="20">
        <v>12600</v>
      </c>
      <c r="C365" s="20">
        <v>27000</v>
      </c>
      <c r="D365" s="20">
        <v>9400</v>
      </c>
      <c r="E365" s="20">
        <v>27250</v>
      </c>
      <c r="F365" s="20">
        <v>19100</v>
      </c>
      <c r="G365" s="14">
        <f t="shared" si="8"/>
        <v>-1.5625E-2</v>
      </c>
      <c r="H365" s="14">
        <f t="shared" si="8"/>
        <v>-9.1743119266054496E-3</v>
      </c>
      <c r="I365" s="14">
        <f t="shared" si="8"/>
        <v>0</v>
      </c>
      <c r="J365" s="14">
        <f t="shared" si="8"/>
        <v>5.5350553505535416E-3</v>
      </c>
      <c r="K365" s="14">
        <f t="shared" si="8"/>
        <v>-5.2083333333333703E-3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5">
      <c r="A366" s="12">
        <v>44462</v>
      </c>
      <c r="B366" s="20">
        <v>12800</v>
      </c>
      <c r="C366" s="20">
        <v>27250</v>
      </c>
      <c r="D366" s="20">
        <v>9400</v>
      </c>
      <c r="E366" s="20">
        <v>27100</v>
      </c>
      <c r="F366" s="20">
        <v>19200</v>
      </c>
      <c r="G366" s="14">
        <f t="shared" si="8"/>
        <v>-1.538461538461533E-2</v>
      </c>
      <c r="H366" s="14">
        <f t="shared" si="8"/>
        <v>5.5350553505535416E-3</v>
      </c>
      <c r="I366" s="14">
        <f t="shared" si="8"/>
        <v>3.2967032967033072E-2</v>
      </c>
      <c r="J366" s="14">
        <f t="shared" si="8"/>
        <v>-7.3260073260073E-3</v>
      </c>
      <c r="K366" s="14">
        <f t="shared" si="8"/>
        <v>-5.1813471502590858E-3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35">
      <c r="A367" s="12">
        <v>44461</v>
      </c>
      <c r="B367" s="20">
        <v>13000</v>
      </c>
      <c r="C367" s="20">
        <v>27100</v>
      </c>
      <c r="D367" s="20">
        <v>9100</v>
      </c>
      <c r="E367" s="20">
        <v>27300</v>
      </c>
      <c r="F367" s="20">
        <v>19300</v>
      </c>
      <c r="G367" s="14">
        <f t="shared" si="8"/>
        <v>3.1746031746031855E-2</v>
      </c>
      <c r="H367" s="14">
        <f t="shared" si="8"/>
        <v>1.1194029850746245E-2</v>
      </c>
      <c r="I367" s="14">
        <f t="shared" si="8"/>
        <v>2.2471910112359605E-2</v>
      </c>
      <c r="J367" s="14">
        <f t="shared" si="8"/>
        <v>3.6764705882352811E-3</v>
      </c>
      <c r="K367" s="14">
        <f t="shared" si="8"/>
        <v>2.659574468085113E-2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35">
      <c r="A368" s="12">
        <v>44460</v>
      </c>
      <c r="B368" s="20">
        <v>12600</v>
      </c>
      <c r="C368" s="20">
        <v>26800</v>
      </c>
      <c r="D368" s="20">
        <v>8900</v>
      </c>
      <c r="E368" s="20">
        <v>27200</v>
      </c>
      <c r="F368" s="20">
        <v>18800</v>
      </c>
      <c r="G368" s="14">
        <f t="shared" si="8"/>
        <v>1.6129032258064502E-2</v>
      </c>
      <c r="H368" s="14">
        <f t="shared" si="8"/>
        <v>1.5151515151515138E-2</v>
      </c>
      <c r="I368" s="14">
        <f t="shared" si="8"/>
        <v>0</v>
      </c>
      <c r="J368" s="14">
        <f t="shared" si="8"/>
        <v>0</v>
      </c>
      <c r="K368" s="14">
        <f t="shared" si="8"/>
        <v>1.0752688172043001E-2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35">
      <c r="A369" s="12">
        <v>44459</v>
      </c>
      <c r="B369" s="20">
        <v>12400</v>
      </c>
      <c r="C369" s="20">
        <v>26400</v>
      </c>
      <c r="D369" s="20">
        <v>8900</v>
      </c>
      <c r="E369" s="20">
        <v>27200</v>
      </c>
      <c r="F369" s="20">
        <v>18600</v>
      </c>
      <c r="G369" s="14">
        <f t="shared" si="8"/>
        <v>-3.8759689922480578E-2</v>
      </c>
      <c r="H369" s="14">
        <f t="shared" si="8"/>
        <v>-3.7735849056603765E-3</v>
      </c>
      <c r="I369" s="14">
        <f t="shared" si="8"/>
        <v>0</v>
      </c>
      <c r="J369" s="14">
        <f t="shared" si="8"/>
        <v>-1.0909090909090868E-2</v>
      </c>
      <c r="K369" s="14">
        <f t="shared" si="8"/>
        <v>-1.0638297872340385E-2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35">
      <c r="A370" s="12">
        <v>44456</v>
      </c>
      <c r="B370" s="20">
        <v>12900</v>
      </c>
      <c r="C370" s="20">
        <v>26500</v>
      </c>
      <c r="D370" s="20">
        <v>8900</v>
      </c>
      <c r="E370" s="20">
        <v>27500</v>
      </c>
      <c r="F370" s="20">
        <v>18800</v>
      </c>
      <c r="G370" s="14">
        <f t="shared" si="8"/>
        <v>0</v>
      </c>
      <c r="H370" s="14">
        <f t="shared" si="8"/>
        <v>-7.4906367041198685E-3</v>
      </c>
      <c r="I370" s="14">
        <f t="shared" si="8"/>
        <v>-1.1111111111111072E-2</v>
      </c>
      <c r="J370" s="14">
        <f t="shared" si="8"/>
        <v>3.6496350364962904E-3</v>
      </c>
      <c r="K370" s="14">
        <f t="shared" si="8"/>
        <v>-7.9155672823219003E-3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5">
      <c r="A371" s="12">
        <v>44455</v>
      </c>
      <c r="B371" s="20">
        <v>12900</v>
      </c>
      <c r="C371" s="20">
        <v>26700</v>
      </c>
      <c r="D371" s="20">
        <v>9000</v>
      </c>
      <c r="E371" s="20">
        <v>27400</v>
      </c>
      <c r="F371" s="20">
        <v>18950</v>
      </c>
      <c r="G371" s="14">
        <f t="shared" si="8"/>
        <v>-1.5267175572519109E-2</v>
      </c>
      <c r="H371" s="14">
        <f t="shared" si="8"/>
        <v>1.1363636363636465E-2</v>
      </c>
      <c r="I371" s="14">
        <f t="shared" si="8"/>
        <v>0</v>
      </c>
      <c r="J371" s="14">
        <f t="shared" si="8"/>
        <v>0</v>
      </c>
      <c r="K371" s="14">
        <f t="shared" si="8"/>
        <v>1.3368983957219305E-2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35">
      <c r="A372" s="12">
        <v>44454</v>
      </c>
      <c r="B372" s="20">
        <v>13100</v>
      </c>
      <c r="C372" s="20">
        <v>26400</v>
      </c>
      <c r="D372" s="20">
        <v>9000</v>
      </c>
      <c r="E372" s="20">
        <v>27400</v>
      </c>
      <c r="F372" s="20">
        <v>18700</v>
      </c>
      <c r="G372" s="14">
        <f t="shared" si="8"/>
        <v>7.692307692307665E-3</v>
      </c>
      <c r="H372" s="14">
        <f t="shared" si="8"/>
        <v>3.3268101761252389E-2</v>
      </c>
      <c r="I372" s="14">
        <f t="shared" si="8"/>
        <v>2.2727272727272707E-2</v>
      </c>
      <c r="J372" s="14">
        <f t="shared" si="8"/>
        <v>1.8281535648994041E-3</v>
      </c>
      <c r="K372" s="14">
        <f t="shared" si="8"/>
        <v>-1.0582010582010581E-2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5">
      <c r="A373" s="12">
        <v>44453</v>
      </c>
      <c r="B373" s="20">
        <v>13000</v>
      </c>
      <c r="C373" s="20">
        <v>25550</v>
      </c>
      <c r="D373" s="20">
        <v>8800</v>
      </c>
      <c r="E373" s="20">
        <v>27350</v>
      </c>
      <c r="F373" s="20">
        <v>18900</v>
      </c>
      <c r="G373" s="14">
        <f t="shared" si="8"/>
        <v>1.5625E-2</v>
      </c>
      <c r="H373" s="14">
        <f t="shared" si="8"/>
        <v>-1.3513513513513487E-2</v>
      </c>
      <c r="I373" s="14">
        <f t="shared" si="8"/>
        <v>0</v>
      </c>
      <c r="J373" s="14">
        <f t="shared" si="8"/>
        <v>0</v>
      </c>
      <c r="K373" s="14">
        <f t="shared" si="8"/>
        <v>1.3404825737265424E-2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5">
      <c r="A374" s="12">
        <v>44452</v>
      </c>
      <c r="B374" s="20">
        <v>12800</v>
      </c>
      <c r="C374" s="20">
        <v>25900</v>
      </c>
      <c r="D374" s="20">
        <v>8800</v>
      </c>
      <c r="E374" s="20">
        <v>27350</v>
      </c>
      <c r="F374" s="20">
        <v>18650</v>
      </c>
      <c r="G374" s="14">
        <f t="shared" ref="G374:K424" si="9">B374/B375-1</f>
        <v>0</v>
      </c>
      <c r="H374" s="14">
        <f t="shared" si="9"/>
        <v>-1.3333333333333308E-2</v>
      </c>
      <c r="I374" s="14">
        <f t="shared" si="9"/>
        <v>-1.1235955056179803E-2</v>
      </c>
      <c r="J374" s="14">
        <f t="shared" si="9"/>
        <v>1.831501831501825E-3</v>
      </c>
      <c r="K374" s="14">
        <f t="shared" si="9"/>
        <v>-4.3589743589743546E-2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5">
      <c r="A375" s="12">
        <v>44449</v>
      </c>
      <c r="B375" s="20">
        <v>12800</v>
      </c>
      <c r="C375" s="20">
        <v>26250</v>
      </c>
      <c r="D375" s="20">
        <v>8900</v>
      </c>
      <c r="E375" s="20">
        <v>27300</v>
      </c>
      <c r="F375" s="20">
        <v>19500</v>
      </c>
      <c r="G375" s="14">
        <f t="shared" si="9"/>
        <v>-1.538461538461533E-2</v>
      </c>
      <c r="H375" s="14">
        <f t="shared" si="9"/>
        <v>-1.8691588785046731E-2</v>
      </c>
      <c r="I375" s="14">
        <f t="shared" si="9"/>
        <v>0</v>
      </c>
      <c r="J375" s="14">
        <f t="shared" si="9"/>
        <v>0</v>
      </c>
      <c r="K375" s="14">
        <f t="shared" si="9"/>
        <v>-2.2556390977443663E-2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5">
      <c r="A376" s="12">
        <v>44448</v>
      </c>
      <c r="B376" s="20">
        <v>13000</v>
      </c>
      <c r="C376" s="20">
        <v>26750</v>
      </c>
      <c r="D376" s="20">
        <v>8900</v>
      </c>
      <c r="E376" s="20">
        <v>27300</v>
      </c>
      <c r="F376" s="20">
        <v>19950</v>
      </c>
      <c r="G376" s="14">
        <f t="shared" si="9"/>
        <v>7.7519379844961378E-3</v>
      </c>
      <c r="H376" s="14">
        <f t="shared" si="9"/>
        <v>2.0992366412213803E-2</v>
      </c>
      <c r="I376" s="14">
        <f t="shared" si="9"/>
        <v>-1.1111111111111072E-2</v>
      </c>
      <c r="J376" s="14">
        <f t="shared" si="9"/>
        <v>-3.6496350364964014E-3</v>
      </c>
      <c r="K376" s="14">
        <f t="shared" si="9"/>
        <v>5.0000000000000044E-2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5">
      <c r="A377" s="12">
        <v>44447</v>
      </c>
      <c r="B377" s="20">
        <v>12900</v>
      </c>
      <c r="C377" s="20">
        <v>26200</v>
      </c>
      <c r="D377" s="20">
        <v>9000</v>
      </c>
      <c r="E377" s="20">
        <v>27400</v>
      </c>
      <c r="F377" s="20">
        <v>19000</v>
      </c>
      <c r="G377" s="14">
        <f t="shared" si="9"/>
        <v>1.5748031496062964E-2</v>
      </c>
      <c r="H377" s="14">
        <f t="shared" si="9"/>
        <v>4.3824701195219085E-2</v>
      </c>
      <c r="I377" s="14">
        <f t="shared" si="9"/>
        <v>0</v>
      </c>
      <c r="J377" s="14">
        <f t="shared" si="9"/>
        <v>0</v>
      </c>
      <c r="K377" s="14">
        <f t="shared" si="9"/>
        <v>5.8495821727019504E-2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5">
      <c r="A378" s="12">
        <v>44446</v>
      </c>
      <c r="B378" s="20">
        <v>12700</v>
      </c>
      <c r="C378" s="20">
        <v>25100</v>
      </c>
      <c r="D378" s="20">
        <v>9000</v>
      </c>
      <c r="E378" s="20">
        <v>27400</v>
      </c>
      <c r="F378" s="20">
        <v>17950</v>
      </c>
      <c r="G378" s="14">
        <f t="shared" si="9"/>
        <v>4.9586776859504189E-2</v>
      </c>
      <c r="H378" s="14">
        <f t="shared" si="9"/>
        <v>2.0325203252032464E-2</v>
      </c>
      <c r="I378" s="14">
        <f t="shared" si="9"/>
        <v>3.4482758620689724E-2</v>
      </c>
      <c r="J378" s="14">
        <f t="shared" si="9"/>
        <v>9.208103130755152E-3</v>
      </c>
      <c r="K378" s="14">
        <f t="shared" si="9"/>
        <v>8.4269662921347965E-3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5">
      <c r="A379" s="12">
        <v>44445</v>
      </c>
      <c r="B379" s="20">
        <v>12100</v>
      </c>
      <c r="C379" s="20">
        <v>24600</v>
      </c>
      <c r="D379" s="20">
        <v>8700</v>
      </c>
      <c r="E379" s="20">
        <v>27150</v>
      </c>
      <c r="F379" s="20">
        <v>17800</v>
      </c>
      <c r="G379" s="14">
        <f t="shared" si="9"/>
        <v>8.3333333333333037E-3</v>
      </c>
      <c r="H379" s="14">
        <f t="shared" si="9"/>
        <v>1.4432989690721598E-2</v>
      </c>
      <c r="I379" s="14">
        <f t="shared" si="9"/>
        <v>1.1627906976744207E-2</v>
      </c>
      <c r="J379" s="14">
        <f t="shared" si="9"/>
        <v>1.8450184501845879E-3</v>
      </c>
      <c r="K379" s="14">
        <f t="shared" si="9"/>
        <v>-1.6574585635359074E-2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5">
      <c r="A380" s="12">
        <v>44440</v>
      </c>
      <c r="B380" s="20">
        <v>12000</v>
      </c>
      <c r="C380" s="20">
        <v>24250</v>
      </c>
      <c r="D380" s="20">
        <v>8600</v>
      </c>
      <c r="E380" s="20">
        <v>27100</v>
      </c>
      <c r="F380" s="20">
        <v>18100</v>
      </c>
      <c r="G380" s="14">
        <f t="shared" si="9"/>
        <v>-8.2644628099173278E-3</v>
      </c>
      <c r="H380" s="14">
        <f t="shared" si="9"/>
        <v>1.2526096033402823E-2</v>
      </c>
      <c r="I380" s="14">
        <f t="shared" si="9"/>
        <v>-1.1494252873563204E-2</v>
      </c>
      <c r="J380" s="14">
        <f t="shared" si="9"/>
        <v>0</v>
      </c>
      <c r="K380" s="14">
        <f t="shared" si="9"/>
        <v>5.232558139534893E-2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5">
      <c r="A381" s="12">
        <v>44439</v>
      </c>
      <c r="B381" s="20">
        <v>12100</v>
      </c>
      <c r="C381" s="20">
        <v>23950</v>
      </c>
      <c r="D381" s="20">
        <v>8700</v>
      </c>
      <c r="E381" s="20">
        <v>27100</v>
      </c>
      <c r="F381" s="20">
        <v>17200</v>
      </c>
      <c r="G381" s="14">
        <f t="shared" si="9"/>
        <v>2.5423728813559254E-2</v>
      </c>
      <c r="H381" s="14">
        <f t="shared" si="9"/>
        <v>1.9148936170212849E-2</v>
      </c>
      <c r="I381" s="14">
        <f t="shared" si="9"/>
        <v>1.1627906976744207E-2</v>
      </c>
      <c r="J381" s="14">
        <f t="shared" si="9"/>
        <v>-7.3260073260073E-3</v>
      </c>
      <c r="K381" s="14">
        <f t="shared" si="9"/>
        <v>-2.2727272727272707E-2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5">
      <c r="A382" s="12">
        <v>44438</v>
      </c>
      <c r="B382" s="20">
        <v>11800</v>
      </c>
      <c r="C382" s="20">
        <v>23500</v>
      </c>
      <c r="D382" s="20">
        <v>8600</v>
      </c>
      <c r="E382" s="20">
        <v>27300</v>
      </c>
      <c r="F382" s="20">
        <v>17600</v>
      </c>
      <c r="G382" s="14">
        <f t="shared" si="9"/>
        <v>2.6086956521739202E-2</v>
      </c>
      <c r="H382" s="14">
        <f t="shared" si="9"/>
        <v>0</v>
      </c>
      <c r="I382" s="14">
        <f t="shared" si="9"/>
        <v>-1.1494252873563204E-2</v>
      </c>
      <c r="J382" s="14">
        <f t="shared" si="9"/>
        <v>0</v>
      </c>
      <c r="K382" s="14">
        <f t="shared" si="9"/>
        <v>3.529411764705892E-2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5">
      <c r="A383" s="12">
        <v>44435</v>
      </c>
      <c r="B383" s="20">
        <v>11500</v>
      </c>
      <c r="C383" s="20">
        <v>23500</v>
      </c>
      <c r="D383" s="20">
        <v>8700</v>
      </c>
      <c r="E383" s="20">
        <v>27300</v>
      </c>
      <c r="F383" s="20">
        <v>17000</v>
      </c>
      <c r="G383" s="14">
        <f t="shared" si="9"/>
        <v>-8.6206896551723755E-3</v>
      </c>
      <c r="H383" s="14">
        <f t="shared" si="9"/>
        <v>2.8446389496717739E-2</v>
      </c>
      <c r="I383" s="14">
        <f t="shared" si="9"/>
        <v>0</v>
      </c>
      <c r="J383" s="14">
        <f t="shared" si="9"/>
        <v>-1.7985611510791366E-2</v>
      </c>
      <c r="K383" s="14">
        <f t="shared" si="9"/>
        <v>-3.9548022598870025E-2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5">
      <c r="A384" s="12">
        <v>44434</v>
      </c>
      <c r="B384" s="20">
        <v>11600</v>
      </c>
      <c r="C384" s="20">
        <v>22850</v>
      </c>
      <c r="D384" s="20">
        <v>8700</v>
      </c>
      <c r="E384" s="20">
        <v>27800</v>
      </c>
      <c r="F384" s="20">
        <v>17700</v>
      </c>
      <c r="G384" s="14">
        <f t="shared" si="9"/>
        <v>2.6548672566371723E-2</v>
      </c>
      <c r="H384" s="14">
        <f t="shared" si="9"/>
        <v>6.6079295154184425E-3</v>
      </c>
      <c r="I384" s="14">
        <f t="shared" si="9"/>
        <v>0</v>
      </c>
      <c r="J384" s="14">
        <f t="shared" si="9"/>
        <v>5.5028462998102379E-2</v>
      </c>
      <c r="K384" s="14">
        <f t="shared" si="9"/>
        <v>-3.2786885245901676E-2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35">
      <c r="A385" s="12">
        <v>44433</v>
      </c>
      <c r="B385" s="20">
        <v>11300</v>
      </c>
      <c r="C385" s="20">
        <v>22700</v>
      </c>
      <c r="D385" s="20">
        <v>8700</v>
      </c>
      <c r="E385" s="20">
        <v>26350</v>
      </c>
      <c r="F385" s="20">
        <v>18300</v>
      </c>
      <c r="G385" s="14">
        <f t="shared" si="9"/>
        <v>-2.5862068965517238E-2</v>
      </c>
      <c r="H385" s="14">
        <f t="shared" si="9"/>
        <v>1.3392857142857206E-2</v>
      </c>
      <c r="I385" s="14">
        <f t="shared" si="9"/>
        <v>0</v>
      </c>
      <c r="J385" s="14">
        <f t="shared" si="9"/>
        <v>-5.6603773584905648E-3</v>
      </c>
      <c r="K385" s="14">
        <f t="shared" si="9"/>
        <v>2.8089887640449396E-2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35">
      <c r="A386" s="12">
        <v>44432</v>
      </c>
      <c r="B386" s="20">
        <v>11600</v>
      </c>
      <c r="C386" s="20">
        <v>22400</v>
      </c>
      <c r="D386" s="20">
        <v>8700</v>
      </c>
      <c r="E386" s="20">
        <v>26500</v>
      </c>
      <c r="F386" s="20">
        <v>17800</v>
      </c>
      <c r="G386" s="14">
        <f t="shared" si="9"/>
        <v>-8.5470085470085166E-3</v>
      </c>
      <c r="H386" s="14">
        <f t="shared" si="9"/>
        <v>1.8181818181818077E-2</v>
      </c>
      <c r="I386" s="14">
        <f t="shared" si="9"/>
        <v>-2.2471910112359605E-2</v>
      </c>
      <c r="J386" s="14">
        <f t="shared" si="9"/>
        <v>-7.4906367041198685E-3</v>
      </c>
      <c r="K386" s="14">
        <f t="shared" si="9"/>
        <v>-4.8128342245989275E-2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5">
      <c r="A387" s="12">
        <v>44431</v>
      </c>
      <c r="B387" s="20">
        <v>11700</v>
      </c>
      <c r="C387" s="20">
        <v>22000</v>
      </c>
      <c r="D387" s="20">
        <v>8900</v>
      </c>
      <c r="E387" s="20">
        <v>26700</v>
      </c>
      <c r="F387" s="20">
        <v>18700</v>
      </c>
      <c r="G387" s="14">
        <f t="shared" si="9"/>
        <v>-8.4745762711864181E-3</v>
      </c>
      <c r="H387" s="14">
        <f t="shared" si="9"/>
        <v>0</v>
      </c>
      <c r="I387" s="14">
        <f t="shared" si="9"/>
        <v>0</v>
      </c>
      <c r="J387" s="14">
        <f t="shared" si="9"/>
        <v>-1.8382352941176516E-2</v>
      </c>
      <c r="K387" s="14">
        <f t="shared" si="9"/>
        <v>6.8571428571428505E-2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5">
      <c r="A388" s="12">
        <v>44428</v>
      </c>
      <c r="B388" s="20">
        <v>11800</v>
      </c>
      <c r="C388" s="20">
        <v>22000</v>
      </c>
      <c r="D388" s="20">
        <v>8900</v>
      </c>
      <c r="E388" s="20">
        <v>27200</v>
      </c>
      <c r="F388" s="20">
        <v>17500</v>
      </c>
      <c r="G388" s="14">
        <f t="shared" si="9"/>
        <v>2.6086956521739202E-2</v>
      </c>
      <c r="H388" s="14">
        <f t="shared" si="9"/>
        <v>1.3824884792626779E-2</v>
      </c>
      <c r="I388" s="14">
        <f t="shared" si="9"/>
        <v>1.1363636363636465E-2</v>
      </c>
      <c r="J388" s="14">
        <f t="shared" si="9"/>
        <v>-7.2992700729926918E-3</v>
      </c>
      <c r="K388" s="14">
        <f t="shared" si="9"/>
        <v>6.7073170731707377E-2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5">
      <c r="A389" s="12">
        <v>44427</v>
      </c>
      <c r="B389" s="20">
        <v>11500</v>
      </c>
      <c r="C389" s="20">
        <v>21700</v>
      </c>
      <c r="D389" s="20">
        <v>8800</v>
      </c>
      <c r="E389" s="20">
        <v>27400</v>
      </c>
      <c r="F389" s="20">
        <v>16400</v>
      </c>
      <c r="G389" s="14">
        <f t="shared" si="9"/>
        <v>-1.7094017094017144E-2</v>
      </c>
      <c r="H389" s="14">
        <f t="shared" si="9"/>
        <v>2.6004728132387633E-2</v>
      </c>
      <c r="I389" s="14">
        <f t="shared" si="9"/>
        <v>0</v>
      </c>
      <c r="J389" s="14">
        <f t="shared" si="9"/>
        <v>-7.2463768115942351E-3</v>
      </c>
      <c r="K389" s="14">
        <f t="shared" si="9"/>
        <v>6.1349693251533388E-3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5">
      <c r="A390" s="12">
        <v>44426</v>
      </c>
      <c r="B390" s="20">
        <v>11700</v>
      </c>
      <c r="C390" s="20">
        <v>21150</v>
      </c>
      <c r="D390" s="20">
        <v>8800</v>
      </c>
      <c r="E390" s="20">
        <v>27600</v>
      </c>
      <c r="F390" s="20">
        <v>16300</v>
      </c>
      <c r="G390" s="14">
        <f t="shared" si="9"/>
        <v>-9.3023255813953543E-2</v>
      </c>
      <c r="H390" s="14">
        <f t="shared" si="9"/>
        <v>-6.8281938325991165E-2</v>
      </c>
      <c r="I390" s="14">
        <f t="shared" si="9"/>
        <v>-1.1235955056179803E-2</v>
      </c>
      <c r="J390" s="14">
        <f t="shared" si="9"/>
        <v>-1.6042780748663055E-2</v>
      </c>
      <c r="K390" s="14">
        <f t="shared" si="9"/>
        <v>-5.2325581395348819E-2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5">
      <c r="A391" s="12">
        <v>44425</v>
      </c>
      <c r="B391" s="20">
        <v>12900</v>
      </c>
      <c r="C391" s="20">
        <v>22700</v>
      </c>
      <c r="D391" s="20">
        <v>8900</v>
      </c>
      <c r="E391" s="20">
        <v>28050</v>
      </c>
      <c r="F391" s="20">
        <v>17200</v>
      </c>
      <c r="G391" s="14">
        <f t="shared" si="9"/>
        <v>5.7377049180327822E-2</v>
      </c>
      <c r="H391" s="14">
        <f t="shared" si="9"/>
        <v>3.6529680365296802E-2</v>
      </c>
      <c r="I391" s="14">
        <f t="shared" si="9"/>
        <v>0</v>
      </c>
      <c r="J391" s="14">
        <f t="shared" si="9"/>
        <v>-5.3191489361702482E-3</v>
      </c>
      <c r="K391" s="14">
        <f t="shared" si="9"/>
        <v>4.5592705167173175E-2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5">
      <c r="A392" s="12">
        <v>44424</v>
      </c>
      <c r="B392" s="20">
        <v>12200</v>
      </c>
      <c r="C392" s="20">
        <v>21900</v>
      </c>
      <c r="D392" s="20">
        <v>8900</v>
      </c>
      <c r="E392" s="20">
        <v>28200</v>
      </c>
      <c r="F392" s="20">
        <v>16450</v>
      </c>
      <c r="G392" s="14">
        <f t="shared" si="9"/>
        <v>2.5210084033613356E-2</v>
      </c>
      <c r="H392" s="14">
        <f t="shared" si="9"/>
        <v>3.3018867924528239E-2</v>
      </c>
      <c r="I392" s="14">
        <f t="shared" si="9"/>
        <v>-1.1111111111111072E-2</v>
      </c>
      <c r="J392" s="14">
        <f t="shared" si="9"/>
        <v>1.0752688172043001E-2</v>
      </c>
      <c r="K392" s="14">
        <f t="shared" si="9"/>
        <v>1.5432098765432167E-2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35">
      <c r="A393" s="12">
        <v>44421</v>
      </c>
      <c r="B393" s="20">
        <v>11900</v>
      </c>
      <c r="C393" s="20">
        <v>21200</v>
      </c>
      <c r="D393" s="20">
        <v>9000</v>
      </c>
      <c r="E393" s="20">
        <v>27900</v>
      </c>
      <c r="F393" s="20">
        <v>16200</v>
      </c>
      <c r="G393" s="14">
        <f t="shared" si="9"/>
        <v>8.4745762711864181E-3</v>
      </c>
      <c r="H393" s="14">
        <f t="shared" si="9"/>
        <v>-4.6948356807511304E-3</v>
      </c>
      <c r="I393" s="14">
        <f t="shared" si="9"/>
        <v>0</v>
      </c>
      <c r="J393" s="14">
        <f t="shared" si="9"/>
        <v>-3.125E-2</v>
      </c>
      <c r="K393" s="14">
        <f t="shared" si="9"/>
        <v>-9.1743119266054496E-3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5">
      <c r="A394" s="12">
        <v>44420</v>
      </c>
      <c r="B394" s="20">
        <v>11800</v>
      </c>
      <c r="C394" s="20">
        <v>21300</v>
      </c>
      <c r="D394" s="20">
        <v>9000</v>
      </c>
      <c r="E394" s="20">
        <v>28800</v>
      </c>
      <c r="F394" s="20">
        <v>16350</v>
      </c>
      <c r="G394" s="14">
        <f t="shared" si="9"/>
        <v>-3.2786885245901676E-2</v>
      </c>
      <c r="H394" s="14">
        <f t="shared" si="9"/>
        <v>4.9261083743842304E-2</v>
      </c>
      <c r="I394" s="14">
        <f t="shared" si="9"/>
        <v>1.1235955056179803E-2</v>
      </c>
      <c r="J394" s="14">
        <f t="shared" si="9"/>
        <v>-6.8965517241379448E-3</v>
      </c>
      <c r="K394" s="14">
        <f t="shared" si="9"/>
        <v>2.8301886792452935E-2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5">
      <c r="A395" s="12">
        <v>44419</v>
      </c>
      <c r="B395" s="20">
        <v>12200</v>
      </c>
      <c r="C395" s="20">
        <v>20300</v>
      </c>
      <c r="D395" s="20">
        <v>8900</v>
      </c>
      <c r="E395" s="20">
        <v>29000</v>
      </c>
      <c r="F395" s="20">
        <v>15900</v>
      </c>
      <c r="G395" s="14">
        <f t="shared" si="9"/>
        <v>-8.1300813008130524E-3</v>
      </c>
      <c r="H395" s="14">
        <f t="shared" si="9"/>
        <v>1.7543859649122862E-2</v>
      </c>
      <c r="I395" s="14">
        <f t="shared" si="9"/>
        <v>-1.1111111111111072E-2</v>
      </c>
      <c r="J395" s="14">
        <f t="shared" si="9"/>
        <v>-1.6949152542372836E-2</v>
      </c>
      <c r="K395" s="14">
        <f t="shared" si="9"/>
        <v>-6.2499999999999778E-3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5">
      <c r="A396" s="12">
        <v>44418</v>
      </c>
      <c r="B396" s="20">
        <v>12300</v>
      </c>
      <c r="C396" s="20">
        <v>19950</v>
      </c>
      <c r="D396" s="20">
        <v>9000</v>
      </c>
      <c r="E396" s="20">
        <v>29500</v>
      </c>
      <c r="F396" s="20">
        <v>16000</v>
      </c>
      <c r="G396" s="14">
        <f t="shared" si="9"/>
        <v>8.1967213114753079E-3</v>
      </c>
      <c r="H396" s="14">
        <f t="shared" si="9"/>
        <v>0</v>
      </c>
      <c r="I396" s="14">
        <f t="shared" si="9"/>
        <v>1.1235955056179803E-2</v>
      </c>
      <c r="J396" s="14">
        <f t="shared" si="9"/>
        <v>4.2402826855123754E-2</v>
      </c>
      <c r="K396" s="14">
        <f t="shared" si="9"/>
        <v>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5">
      <c r="A397" s="12">
        <v>44417</v>
      </c>
      <c r="B397" s="20">
        <v>12200</v>
      </c>
      <c r="C397" s="20">
        <v>19950</v>
      </c>
      <c r="D397" s="20">
        <v>8900</v>
      </c>
      <c r="E397" s="20">
        <v>28300</v>
      </c>
      <c r="F397" s="20">
        <v>16000</v>
      </c>
      <c r="G397" s="14">
        <f t="shared" si="9"/>
        <v>-8.1300813008130524E-3</v>
      </c>
      <c r="H397" s="14">
        <f t="shared" si="9"/>
        <v>-2.6829268292682951E-2</v>
      </c>
      <c r="I397" s="14">
        <f t="shared" si="9"/>
        <v>0</v>
      </c>
      <c r="J397" s="14">
        <f t="shared" si="9"/>
        <v>-7.0175438596491446E-3</v>
      </c>
      <c r="K397" s="14">
        <f t="shared" si="9"/>
        <v>-6.2111801242236142E-3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5">
      <c r="A398" s="12">
        <v>44414</v>
      </c>
      <c r="B398" s="20">
        <v>12300</v>
      </c>
      <c r="C398" s="20">
        <v>20500</v>
      </c>
      <c r="D398" s="20">
        <v>8900</v>
      </c>
      <c r="E398" s="20">
        <v>28500</v>
      </c>
      <c r="F398" s="20">
        <v>16100</v>
      </c>
      <c r="G398" s="14">
        <f t="shared" si="9"/>
        <v>3.3613445378151363E-2</v>
      </c>
      <c r="H398" s="14">
        <f t="shared" si="9"/>
        <v>-4.8543689320388328E-3</v>
      </c>
      <c r="I398" s="14">
        <f t="shared" si="9"/>
        <v>1.1363636363636465E-2</v>
      </c>
      <c r="J398" s="14">
        <f t="shared" si="9"/>
        <v>-5.2356020942407877E-3</v>
      </c>
      <c r="K398" s="14">
        <f t="shared" si="9"/>
        <v>-3.0959752321981782E-3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5">
      <c r="A399" s="12">
        <v>44413</v>
      </c>
      <c r="B399" s="20">
        <v>11900</v>
      </c>
      <c r="C399" s="20">
        <v>20600</v>
      </c>
      <c r="D399" s="20">
        <v>8800</v>
      </c>
      <c r="E399" s="20">
        <v>28650</v>
      </c>
      <c r="F399" s="20">
        <v>16150</v>
      </c>
      <c r="G399" s="14">
        <f t="shared" si="9"/>
        <v>8.4745762711864181E-3</v>
      </c>
      <c r="H399" s="14">
        <f t="shared" si="9"/>
        <v>3.0000000000000027E-2</v>
      </c>
      <c r="I399" s="14">
        <f t="shared" si="9"/>
        <v>-1.1235955056179803E-2</v>
      </c>
      <c r="J399" s="14">
        <f t="shared" si="9"/>
        <v>8.8028169014084945E-3</v>
      </c>
      <c r="K399" s="14">
        <f t="shared" si="9"/>
        <v>-1.2232415902140636E-2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35">
      <c r="A400" s="12">
        <v>44412</v>
      </c>
      <c r="B400" s="20">
        <v>11800</v>
      </c>
      <c r="C400" s="20">
        <v>20000</v>
      </c>
      <c r="D400" s="20">
        <v>8900</v>
      </c>
      <c r="E400" s="20">
        <v>28400</v>
      </c>
      <c r="F400" s="20">
        <v>16350</v>
      </c>
      <c r="G400" s="14">
        <f t="shared" si="9"/>
        <v>4.4247787610619538E-2</v>
      </c>
      <c r="H400" s="14">
        <f t="shared" si="9"/>
        <v>6.9518716577540163E-2</v>
      </c>
      <c r="I400" s="14">
        <f t="shared" si="9"/>
        <v>-1.1111111111111072E-2</v>
      </c>
      <c r="J400" s="14">
        <f t="shared" si="9"/>
        <v>7.0921985815601829E-3</v>
      </c>
      <c r="K400" s="14">
        <f t="shared" si="9"/>
        <v>-1.8018018018018056E-2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5">
      <c r="A401" s="12">
        <v>44411</v>
      </c>
      <c r="B401" s="20">
        <v>11300</v>
      </c>
      <c r="C401" s="20">
        <v>18700</v>
      </c>
      <c r="D401" s="20">
        <v>9000</v>
      </c>
      <c r="E401" s="20">
        <v>28200</v>
      </c>
      <c r="F401" s="20">
        <v>16650</v>
      </c>
      <c r="G401" s="14">
        <f t="shared" si="9"/>
        <v>9.7087378640776656E-2</v>
      </c>
      <c r="H401" s="14">
        <f t="shared" si="9"/>
        <v>6.8571428571428505E-2</v>
      </c>
      <c r="I401" s="14">
        <f t="shared" si="9"/>
        <v>4.6511627906976827E-2</v>
      </c>
      <c r="J401" s="14">
        <f t="shared" si="9"/>
        <v>7.1428571428571175E-3</v>
      </c>
      <c r="K401" s="14">
        <f t="shared" si="9"/>
        <v>3.7383177570093462E-2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5">
      <c r="A402" s="12">
        <v>44410</v>
      </c>
      <c r="B402" s="20">
        <v>10300</v>
      </c>
      <c r="C402" s="20">
        <v>17500</v>
      </c>
      <c r="D402" s="20">
        <v>8600</v>
      </c>
      <c r="E402" s="20">
        <v>28000</v>
      </c>
      <c r="F402" s="20">
        <v>16050</v>
      </c>
      <c r="G402" s="14">
        <f t="shared" si="9"/>
        <v>9.5744680851063801E-2</v>
      </c>
      <c r="H402" s="14">
        <f t="shared" si="9"/>
        <v>6.7073170731707377E-2</v>
      </c>
      <c r="I402" s="14">
        <f t="shared" si="9"/>
        <v>6.1728395061728447E-2</v>
      </c>
      <c r="J402" s="14">
        <f t="shared" si="9"/>
        <v>5.6603773584905648E-2</v>
      </c>
      <c r="K402" s="14">
        <f t="shared" si="9"/>
        <v>4.9019607843137303E-2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5">
      <c r="A403" s="12">
        <v>44407</v>
      </c>
      <c r="B403" s="20">
        <v>9400</v>
      </c>
      <c r="C403" s="20">
        <v>16400</v>
      </c>
      <c r="D403" s="20">
        <v>8100</v>
      </c>
      <c r="E403" s="20">
        <v>26500</v>
      </c>
      <c r="F403" s="20">
        <v>15300</v>
      </c>
      <c r="G403" s="14">
        <f t="shared" si="9"/>
        <v>4.4444444444444509E-2</v>
      </c>
      <c r="H403" s="14">
        <f t="shared" si="9"/>
        <v>2.8213166144200663E-2</v>
      </c>
      <c r="I403" s="14">
        <f t="shared" si="9"/>
        <v>2.5316455696202445E-2</v>
      </c>
      <c r="J403" s="14">
        <f t="shared" si="9"/>
        <v>7.6045627376426506E-3</v>
      </c>
      <c r="K403" s="14">
        <f t="shared" si="9"/>
        <v>3.7288135593220417E-2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5">
      <c r="A404" s="12">
        <v>44406</v>
      </c>
      <c r="B404" s="20">
        <v>9000</v>
      </c>
      <c r="C404" s="20">
        <v>15950</v>
      </c>
      <c r="D404" s="20">
        <v>7900</v>
      </c>
      <c r="E404" s="20">
        <v>26300</v>
      </c>
      <c r="F404" s="20">
        <v>14750</v>
      </c>
      <c r="G404" s="14">
        <f t="shared" si="9"/>
        <v>-3.2258064516129004E-2</v>
      </c>
      <c r="H404" s="14">
        <f t="shared" si="9"/>
        <v>-1.5432098765432056E-2</v>
      </c>
      <c r="I404" s="14">
        <f t="shared" si="9"/>
        <v>-4.8192771084337394E-2</v>
      </c>
      <c r="J404" s="14">
        <f t="shared" si="9"/>
        <v>-1.8975332068311701E-3</v>
      </c>
      <c r="K404" s="14">
        <f t="shared" si="9"/>
        <v>-4.220779220779225E-2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5">
      <c r="A405" s="12">
        <v>44405</v>
      </c>
      <c r="B405" s="20">
        <v>9300</v>
      </c>
      <c r="C405" s="20">
        <v>16200</v>
      </c>
      <c r="D405" s="20">
        <v>8300</v>
      </c>
      <c r="E405" s="20">
        <v>26350</v>
      </c>
      <c r="F405" s="20">
        <v>15400</v>
      </c>
      <c r="G405" s="14">
        <f t="shared" si="9"/>
        <v>-8.8235294117647078E-2</v>
      </c>
      <c r="H405" s="14">
        <f t="shared" si="9"/>
        <v>-6.6282420749279591E-2</v>
      </c>
      <c r="I405" s="14">
        <f t="shared" si="9"/>
        <v>-2.352941176470591E-2</v>
      </c>
      <c r="J405" s="14">
        <f t="shared" si="9"/>
        <v>-1.8621973929236479E-2</v>
      </c>
      <c r="K405" s="14">
        <f t="shared" si="9"/>
        <v>-6.0975609756097615E-2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5">
      <c r="A406" s="12">
        <v>44404</v>
      </c>
      <c r="B406" s="20">
        <v>10200</v>
      </c>
      <c r="C406" s="20">
        <v>17350</v>
      </c>
      <c r="D406" s="20">
        <v>8500</v>
      </c>
      <c r="E406" s="20">
        <v>26850</v>
      </c>
      <c r="F406" s="20">
        <v>16400</v>
      </c>
      <c r="G406" s="14">
        <f t="shared" si="9"/>
        <v>0</v>
      </c>
      <c r="H406" s="14">
        <f t="shared" si="9"/>
        <v>-3.0726256983240274E-2</v>
      </c>
      <c r="I406" s="14">
        <f t="shared" si="9"/>
        <v>1.1904761904761862E-2</v>
      </c>
      <c r="J406" s="14">
        <f t="shared" si="9"/>
        <v>-1.2867647058823484E-2</v>
      </c>
      <c r="K406" s="14">
        <f t="shared" si="9"/>
        <v>-1.7964071856287456E-2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5">
      <c r="A407" s="12">
        <v>44403</v>
      </c>
      <c r="B407" s="20">
        <v>10200</v>
      </c>
      <c r="C407" s="20">
        <v>17900</v>
      </c>
      <c r="D407" s="20">
        <v>8400</v>
      </c>
      <c r="E407" s="20">
        <v>27200</v>
      </c>
      <c r="F407" s="20">
        <v>16700</v>
      </c>
      <c r="G407" s="14">
        <f t="shared" si="9"/>
        <v>-3.7735849056603765E-2</v>
      </c>
      <c r="H407" s="14">
        <f t="shared" si="9"/>
        <v>-2.7173913043478271E-2</v>
      </c>
      <c r="I407" s="14">
        <f t="shared" si="9"/>
        <v>-2.3255813953488413E-2</v>
      </c>
      <c r="J407" s="14">
        <f t="shared" si="9"/>
        <v>0</v>
      </c>
      <c r="K407" s="14">
        <f t="shared" si="9"/>
        <v>-1.1834319526627168E-2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5">
      <c r="A408" s="12">
        <v>44400</v>
      </c>
      <c r="B408" s="20">
        <v>10600</v>
      </c>
      <c r="C408" s="20">
        <v>18400</v>
      </c>
      <c r="D408" s="20">
        <v>8600</v>
      </c>
      <c r="E408" s="20">
        <v>27200</v>
      </c>
      <c r="F408" s="20">
        <v>16900</v>
      </c>
      <c r="G408" s="14">
        <f t="shared" si="9"/>
        <v>3.9215686274509887E-2</v>
      </c>
      <c r="H408" s="14">
        <f t="shared" si="9"/>
        <v>5.1428571428571379E-2</v>
      </c>
      <c r="I408" s="14">
        <f t="shared" si="9"/>
        <v>4.8780487804878092E-2</v>
      </c>
      <c r="J408" s="14">
        <f t="shared" si="9"/>
        <v>2.6415094339622636E-2</v>
      </c>
      <c r="K408" s="14">
        <f t="shared" si="9"/>
        <v>3.0487804878048808E-2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5">
      <c r="A409" s="12">
        <v>44399</v>
      </c>
      <c r="B409" s="20">
        <v>10200</v>
      </c>
      <c r="C409" s="20">
        <v>17500</v>
      </c>
      <c r="D409" s="20">
        <v>8200</v>
      </c>
      <c r="E409" s="20">
        <v>26500</v>
      </c>
      <c r="F409" s="20">
        <v>16400</v>
      </c>
      <c r="G409" s="14">
        <f t="shared" si="9"/>
        <v>9.9009900990099098E-3</v>
      </c>
      <c r="H409" s="14">
        <f t="shared" si="9"/>
        <v>-3.0470914127423865E-2</v>
      </c>
      <c r="I409" s="14">
        <f t="shared" si="9"/>
        <v>-2.3809523809523836E-2</v>
      </c>
      <c r="J409" s="14">
        <f t="shared" si="9"/>
        <v>1.5325670498084198E-2</v>
      </c>
      <c r="K409" s="14">
        <f t="shared" si="9"/>
        <v>2.8213166144200663E-2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5">
      <c r="A410" s="12">
        <v>44398</v>
      </c>
      <c r="B410" s="20">
        <v>10100</v>
      </c>
      <c r="C410" s="20">
        <v>18050</v>
      </c>
      <c r="D410" s="20">
        <v>8400</v>
      </c>
      <c r="E410" s="20">
        <v>26100</v>
      </c>
      <c r="F410" s="20">
        <v>15950</v>
      </c>
      <c r="G410" s="14">
        <f t="shared" si="9"/>
        <v>-9.8214285714285698E-2</v>
      </c>
      <c r="H410" s="14">
        <f t="shared" si="9"/>
        <v>-6.9587628865979356E-2</v>
      </c>
      <c r="I410" s="14">
        <f t="shared" si="9"/>
        <v>-4.5454545454545414E-2</v>
      </c>
      <c r="J410" s="14">
        <f t="shared" si="9"/>
        <v>-1.3232514177693777E-2</v>
      </c>
      <c r="K410" s="14">
        <f t="shared" si="9"/>
        <v>-5.0595238095238138E-2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5">
      <c r="A411" s="12">
        <v>44397</v>
      </c>
      <c r="B411" s="20">
        <v>11200</v>
      </c>
      <c r="C411" s="20">
        <v>19400</v>
      </c>
      <c r="D411" s="20">
        <v>8800</v>
      </c>
      <c r="E411" s="20">
        <v>26450</v>
      </c>
      <c r="F411" s="20">
        <v>16800</v>
      </c>
      <c r="G411" s="14">
        <f t="shared" si="9"/>
        <v>7.6923076923076872E-2</v>
      </c>
      <c r="H411" s="14">
        <f t="shared" si="9"/>
        <v>0</v>
      </c>
      <c r="I411" s="14">
        <f t="shared" si="9"/>
        <v>-1.1235955056179803E-2</v>
      </c>
      <c r="J411" s="14">
        <f t="shared" si="9"/>
        <v>1.3409961685823646E-2</v>
      </c>
      <c r="K411" s="14">
        <f t="shared" si="9"/>
        <v>-8.8495575221239076E-3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5">
      <c r="A412" s="12">
        <v>44396</v>
      </c>
      <c r="B412" s="20">
        <v>10400</v>
      </c>
      <c r="C412" s="20">
        <v>19400</v>
      </c>
      <c r="D412" s="20">
        <v>8900</v>
      </c>
      <c r="E412" s="20">
        <v>26100</v>
      </c>
      <c r="F412" s="20">
        <v>16950</v>
      </c>
      <c r="G412" s="14">
        <f t="shared" si="9"/>
        <v>-1.8867924528301883E-2</v>
      </c>
      <c r="H412" s="14">
        <f t="shared" si="9"/>
        <v>-4.6683046683046681E-2</v>
      </c>
      <c r="I412" s="14">
        <f t="shared" si="9"/>
        <v>0</v>
      </c>
      <c r="J412" s="14">
        <f t="shared" si="9"/>
        <v>-3.8167938931297218E-3</v>
      </c>
      <c r="K412" s="14">
        <f t="shared" si="9"/>
        <v>-1.4534883720930258E-2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5">
      <c r="A413" s="12">
        <v>44393</v>
      </c>
      <c r="B413" s="20">
        <v>10600</v>
      </c>
      <c r="C413" s="20">
        <v>20350</v>
      </c>
      <c r="D413" s="20">
        <v>8900</v>
      </c>
      <c r="E413" s="20">
        <v>26200</v>
      </c>
      <c r="F413" s="20">
        <v>17200</v>
      </c>
      <c r="G413" s="14">
        <f t="shared" si="9"/>
        <v>-4.5045045045045029E-2</v>
      </c>
      <c r="H413" s="14">
        <f t="shared" si="9"/>
        <v>2.2613065326633208E-2</v>
      </c>
      <c r="I413" s="14">
        <f t="shared" si="9"/>
        <v>1.1363636363636465E-2</v>
      </c>
      <c r="J413" s="14">
        <f t="shared" si="9"/>
        <v>-1.9047619047618536E-3</v>
      </c>
      <c r="K413" s="14">
        <f t="shared" si="9"/>
        <v>4.2424242424242475E-2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5">
      <c r="A414" s="12">
        <v>44392</v>
      </c>
      <c r="B414" s="20">
        <v>11100</v>
      </c>
      <c r="C414" s="20">
        <v>19900</v>
      </c>
      <c r="D414" s="20">
        <v>8800</v>
      </c>
      <c r="E414" s="20">
        <v>26250</v>
      </c>
      <c r="F414" s="20">
        <v>16500</v>
      </c>
      <c r="G414" s="14">
        <f t="shared" si="9"/>
        <v>2.7777777777777679E-2</v>
      </c>
      <c r="H414" s="14">
        <f t="shared" si="9"/>
        <v>5.050505050504972E-3</v>
      </c>
      <c r="I414" s="14">
        <f t="shared" si="9"/>
        <v>3.529411764705892E-2</v>
      </c>
      <c r="J414" s="14">
        <f t="shared" si="9"/>
        <v>-1.3157894736842146E-2</v>
      </c>
      <c r="K414" s="14">
        <f t="shared" si="9"/>
        <v>4.4303797468354444E-2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5">
      <c r="A415" s="12">
        <v>44391</v>
      </c>
      <c r="B415" s="20">
        <v>10800</v>
      </c>
      <c r="C415" s="20">
        <v>19800</v>
      </c>
      <c r="D415" s="20">
        <v>8500</v>
      </c>
      <c r="E415" s="20">
        <v>26600</v>
      </c>
      <c r="F415" s="20">
        <v>15800</v>
      </c>
      <c r="G415" s="14">
        <f t="shared" si="9"/>
        <v>-1.8181818181818188E-2</v>
      </c>
      <c r="H415" s="14">
        <f t="shared" si="9"/>
        <v>4.2105263157894646E-2</v>
      </c>
      <c r="I415" s="14">
        <f t="shared" si="9"/>
        <v>-1.1627906976744207E-2</v>
      </c>
      <c r="J415" s="14">
        <f t="shared" si="9"/>
        <v>0</v>
      </c>
      <c r="K415" s="14">
        <f t="shared" si="9"/>
        <v>0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5">
      <c r="A416" s="12">
        <v>44390</v>
      </c>
      <c r="B416" s="20">
        <v>11000</v>
      </c>
      <c r="C416" s="20">
        <v>19000</v>
      </c>
      <c r="D416" s="20">
        <v>8600</v>
      </c>
      <c r="E416" s="20">
        <v>26600</v>
      </c>
      <c r="F416" s="20">
        <v>15800</v>
      </c>
      <c r="G416" s="14">
        <f t="shared" si="9"/>
        <v>1.8518518518518601E-2</v>
      </c>
      <c r="H416" s="14">
        <f t="shared" si="9"/>
        <v>-4.2821158690176331E-2</v>
      </c>
      <c r="I416" s="14">
        <f t="shared" si="9"/>
        <v>0</v>
      </c>
      <c r="J416" s="14">
        <f t="shared" si="9"/>
        <v>3.7735849056603765E-3</v>
      </c>
      <c r="K416" s="14">
        <f t="shared" si="9"/>
        <v>1.2820512820512775E-2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5">
      <c r="A417" s="12">
        <v>44389</v>
      </c>
      <c r="B417" s="20">
        <v>10800</v>
      </c>
      <c r="C417" s="20">
        <v>19850</v>
      </c>
      <c r="D417" s="20">
        <v>8600</v>
      </c>
      <c r="E417" s="20">
        <v>26500</v>
      </c>
      <c r="F417" s="20">
        <v>15600</v>
      </c>
      <c r="G417" s="14">
        <f t="shared" si="9"/>
        <v>-9.9999999999999978E-2</v>
      </c>
      <c r="H417" s="14">
        <f t="shared" si="9"/>
        <v>-6.8075117370892002E-2</v>
      </c>
      <c r="I417" s="14">
        <f t="shared" si="9"/>
        <v>-4.4444444444444398E-2</v>
      </c>
      <c r="J417" s="14">
        <f t="shared" si="9"/>
        <v>-1.8832391713747842E-3</v>
      </c>
      <c r="K417" s="14">
        <f t="shared" si="9"/>
        <v>-6.8656716417910491E-2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5">
      <c r="A418" s="12">
        <v>44386</v>
      </c>
      <c r="B418" s="20">
        <v>12000</v>
      </c>
      <c r="C418" s="20">
        <v>21300</v>
      </c>
      <c r="D418" s="20">
        <v>9000</v>
      </c>
      <c r="E418" s="20">
        <v>26550</v>
      </c>
      <c r="F418" s="20">
        <v>16750</v>
      </c>
      <c r="G418" s="14">
        <f t="shared" si="9"/>
        <v>-6.9767441860465129E-2</v>
      </c>
      <c r="H418" s="14">
        <f t="shared" si="9"/>
        <v>-3.1818181818181857E-2</v>
      </c>
      <c r="I418" s="14">
        <f t="shared" si="9"/>
        <v>-1.098901098901095E-2</v>
      </c>
      <c r="J418" s="14">
        <f t="shared" si="9"/>
        <v>-2.0295202952029467E-2</v>
      </c>
      <c r="K418" s="14">
        <f t="shared" si="9"/>
        <v>-6.944444444444442E-2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5">
      <c r="A419" s="12">
        <v>44385</v>
      </c>
      <c r="B419" s="20">
        <v>12900</v>
      </c>
      <c r="C419" s="20">
        <v>22000</v>
      </c>
      <c r="D419" s="20">
        <v>9100</v>
      </c>
      <c r="E419" s="20">
        <v>27100</v>
      </c>
      <c r="F419" s="20">
        <v>18000</v>
      </c>
      <c r="G419" s="14">
        <f t="shared" si="9"/>
        <v>-5.1470588235294157E-2</v>
      </c>
      <c r="H419" s="14">
        <f t="shared" si="9"/>
        <v>1.3824884792626779E-2</v>
      </c>
      <c r="I419" s="14">
        <f t="shared" si="9"/>
        <v>0</v>
      </c>
      <c r="J419" s="14">
        <f t="shared" si="9"/>
        <v>1.848428835489857E-3</v>
      </c>
      <c r="K419" s="14">
        <f t="shared" si="9"/>
        <v>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5">
      <c r="A420" s="12">
        <v>44384</v>
      </c>
      <c r="B420" s="20">
        <v>13600</v>
      </c>
      <c r="C420" s="20">
        <v>21700</v>
      </c>
      <c r="D420" s="20">
        <v>9100</v>
      </c>
      <c r="E420" s="20">
        <v>27050</v>
      </c>
      <c r="F420" s="20">
        <v>18000</v>
      </c>
      <c r="G420" s="14">
        <f t="shared" si="9"/>
        <v>-9.9337748344370813E-2</v>
      </c>
      <c r="H420" s="14">
        <f t="shared" si="9"/>
        <v>-6.8669527896995763E-2</v>
      </c>
      <c r="I420" s="14">
        <f t="shared" si="9"/>
        <v>-4.2105263157894757E-2</v>
      </c>
      <c r="J420" s="14">
        <f t="shared" si="9"/>
        <v>-2.6978417266187105E-2</v>
      </c>
      <c r="K420" s="14">
        <f t="shared" si="9"/>
        <v>-6.9767441860465129E-2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5">
      <c r="A421" s="12">
        <v>44383</v>
      </c>
      <c r="B421" s="20">
        <v>15100</v>
      </c>
      <c r="C421" s="20">
        <v>23300</v>
      </c>
      <c r="D421" s="20">
        <v>9500</v>
      </c>
      <c r="E421" s="20">
        <v>27800</v>
      </c>
      <c r="F421" s="20">
        <v>19350</v>
      </c>
      <c r="G421" s="14">
        <f t="shared" si="9"/>
        <v>-6.5789473684210176E-3</v>
      </c>
      <c r="H421" s="14">
        <f t="shared" si="9"/>
        <v>4.3103448275862988E-3</v>
      </c>
      <c r="I421" s="14">
        <f t="shared" si="9"/>
        <v>0</v>
      </c>
      <c r="J421" s="14">
        <f t="shared" si="9"/>
        <v>-1.7953321364452268E-3</v>
      </c>
      <c r="K421" s="14">
        <f t="shared" si="9"/>
        <v>4.0322580645161255E-2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5">
      <c r="A422" s="12">
        <v>44382</v>
      </c>
      <c r="B422" s="20">
        <v>15200</v>
      </c>
      <c r="C422" s="20">
        <v>23200</v>
      </c>
      <c r="D422" s="20">
        <v>9500</v>
      </c>
      <c r="E422" s="20">
        <v>27850</v>
      </c>
      <c r="F422" s="20">
        <v>18600</v>
      </c>
      <c r="G422" s="14">
        <f t="shared" si="9"/>
        <v>-1.2987012987012991E-2</v>
      </c>
      <c r="H422" s="14">
        <f t="shared" si="9"/>
        <v>4.3290043290042934E-3</v>
      </c>
      <c r="I422" s="14">
        <f t="shared" si="9"/>
        <v>1.0638297872340496E-2</v>
      </c>
      <c r="J422" s="14">
        <f t="shared" si="9"/>
        <v>-5.3571428571428381E-3</v>
      </c>
      <c r="K422" s="14">
        <f t="shared" si="9"/>
        <v>2.6954177897573484E-3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35">
      <c r="A423" s="12">
        <v>44379</v>
      </c>
      <c r="B423" s="20">
        <v>15400</v>
      </c>
      <c r="C423" s="20">
        <v>23100</v>
      </c>
      <c r="D423" s="20">
        <v>9400</v>
      </c>
      <c r="E423" s="20">
        <v>28000</v>
      </c>
      <c r="F423" s="20">
        <v>18550</v>
      </c>
      <c r="G423" s="14">
        <f t="shared" si="9"/>
        <v>1.3157894736842035E-2</v>
      </c>
      <c r="H423" s="14">
        <f t="shared" si="9"/>
        <v>2.1691973969630851E-3</v>
      </c>
      <c r="I423" s="14">
        <f t="shared" si="9"/>
        <v>0</v>
      </c>
      <c r="J423" s="14">
        <f t="shared" si="9"/>
        <v>1.7889087656528524E-3</v>
      </c>
      <c r="K423" s="14">
        <f t="shared" si="9"/>
        <v>-1.591511936339518E-2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35">
      <c r="A424" s="12">
        <v>44378</v>
      </c>
      <c r="B424" s="20">
        <v>15200</v>
      </c>
      <c r="C424" s="20">
        <v>23050</v>
      </c>
      <c r="D424" s="20">
        <v>9400</v>
      </c>
      <c r="E424" s="20">
        <v>27950</v>
      </c>
      <c r="F424" s="20">
        <v>18850</v>
      </c>
      <c r="G424" s="14">
        <f t="shared" si="9"/>
        <v>1.3333333333333419E-2</v>
      </c>
      <c r="H424" s="14">
        <f t="shared" si="9"/>
        <v>2.1739130434783593E-3</v>
      </c>
      <c r="I424" s="14">
        <f t="shared" si="9"/>
        <v>1.0752688172043001E-2</v>
      </c>
      <c r="J424" s="14">
        <f t="shared" si="9"/>
        <v>9.0252707581226499E-3</v>
      </c>
      <c r="K424" s="14">
        <f t="shared" si="9"/>
        <v>2.4456521739130377E-2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5">
      <c r="A425" s="12">
        <v>44377</v>
      </c>
      <c r="B425" s="20">
        <v>15000</v>
      </c>
      <c r="C425" s="20">
        <v>23000</v>
      </c>
      <c r="D425" s="20">
        <v>9300</v>
      </c>
      <c r="E425" s="20">
        <v>27700</v>
      </c>
      <c r="F425" s="20">
        <v>18400</v>
      </c>
      <c r="G425" s="14">
        <f t="shared" ref="G425:K455" si="10">B425/B426-1</f>
        <v>6.7114093959732557E-3</v>
      </c>
      <c r="H425" s="14">
        <f t="shared" si="10"/>
        <v>-4.3290043290042934E-3</v>
      </c>
      <c r="I425" s="14">
        <f t="shared" si="10"/>
        <v>-1.0638297872340385E-2</v>
      </c>
      <c r="J425" s="14">
        <f t="shared" si="10"/>
        <v>9.1074681238616506E-3</v>
      </c>
      <c r="K425" s="14">
        <f t="shared" si="10"/>
        <v>2.7247956403269047E-3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35">
      <c r="A426" s="12">
        <v>44376</v>
      </c>
      <c r="B426" s="20">
        <v>14900</v>
      </c>
      <c r="C426" s="20">
        <v>23100</v>
      </c>
      <c r="D426" s="20">
        <v>9400</v>
      </c>
      <c r="E426" s="20">
        <v>27450</v>
      </c>
      <c r="F426" s="20">
        <v>18350</v>
      </c>
      <c r="G426" s="14">
        <f t="shared" si="10"/>
        <v>-3.2467532467532423E-2</v>
      </c>
      <c r="H426" s="14">
        <f t="shared" si="10"/>
        <v>-2.5316455696202556E-2</v>
      </c>
      <c r="I426" s="14">
        <f t="shared" si="10"/>
        <v>-1.0526315789473717E-2</v>
      </c>
      <c r="J426" s="14">
        <f t="shared" si="10"/>
        <v>-3.1746031746031744E-2</v>
      </c>
      <c r="K426" s="14">
        <f t="shared" si="10"/>
        <v>-5.4123711340206215E-2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35">
      <c r="A427" s="12">
        <v>44375</v>
      </c>
      <c r="B427" s="20">
        <v>15400</v>
      </c>
      <c r="C427" s="20">
        <v>23700</v>
      </c>
      <c r="D427" s="20">
        <v>9500</v>
      </c>
      <c r="E427" s="20">
        <v>28350</v>
      </c>
      <c r="F427" s="20">
        <v>19400</v>
      </c>
      <c r="G427" s="14">
        <f t="shared" si="10"/>
        <v>0</v>
      </c>
      <c r="H427" s="14">
        <f t="shared" si="10"/>
        <v>-4.2016806722688926E-3</v>
      </c>
      <c r="I427" s="14">
        <f t="shared" si="10"/>
        <v>0</v>
      </c>
      <c r="J427" s="14">
        <f t="shared" si="10"/>
        <v>-7.0052539404553693E-3</v>
      </c>
      <c r="K427" s="14">
        <f t="shared" si="10"/>
        <v>1.3054830287206221E-2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35">
      <c r="A428" s="12">
        <v>44372</v>
      </c>
      <c r="B428" s="20">
        <v>15400</v>
      </c>
      <c r="C428" s="20">
        <v>23800</v>
      </c>
      <c r="D428" s="20">
        <v>9500</v>
      </c>
      <c r="E428" s="20">
        <v>28550</v>
      </c>
      <c r="F428" s="20">
        <v>19150</v>
      </c>
      <c r="G428" s="14">
        <f t="shared" si="10"/>
        <v>-1.9108280254777066E-2</v>
      </c>
      <c r="H428" s="14">
        <f t="shared" si="10"/>
        <v>-1.6528925619834656E-2</v>
      </c>
      <c r="I428" s="14">
        <f t="shared" si="10"/>
        <v>-1.041666666666663E-2</v>
      </c>
      <c r="J428" s="14">
        <f t="shared" si="10"/>
        <v>-6.9565217391304168E-3</v>
      </c>
      <c r="K428" s="14">
        <f t="shared" si="10"/>
        <v>-2.6041666666666297E-3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35">
      <c r="A429" s="12">
        <v>44371</v>
      </c>
      <c r="B429" s="20">
        <v>15700</v>
      </c>
      <c r="C429" s="20">
        <v>24200</v>
      </c>
      <c r="D429" s="20">
        <v>9600</v>
      </c>
      <c r="E429" s="20">
        <v>28750</v>
      </c>
      <c r="F429" s="20">
        <v>19200</v>
      </c>
      <c r="G429" s="14">
        <f t="shared" si="10"/>
        <v>1.9480519480519431E-2</v>
      </c>
      <c r="H429" s="14">
        <f t="shared" si="10"/>
        <v>4.1493775933609811E-3</v>
      </c>
      <c r="I429" s="14">
        <f t="shared" si="10"/>
        <v>-1.0309278350515427E-2</v>
      </c>
      <c r="J429" s="14">
        <f t="shared" si="10"/>
        <v>1.7421602787457413E-3</v>
      </c>
      <c r="K429" s="14">
        <f t="shared" si="10"/>
        <v>1.5873015873015817E-2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35">
      <c r="A430" s="12">
        <v>44370</v>
      </c>
      <c r="B430" s="20">
        <v>15400</v>
      </c>
      <c r="C430" s="20">
        <v>24100</v>
      </c>
      <c r="D430" s="20">
        <v>9700</v>
      </c>
      <c r="E430" s="20">
        <v>28700</v>
      </c>
      <c r="F430" s="20">
        <v>18900</v>
      </c>
      <c r="G430" s="14">
        <f t="shared" si="10"/>
        <v>-6.0975609756097615E-2</v>
      </c>
      <c r="H430" s="14">
        <f t="shared" si="10"/>
        <v>-2.8225806451612878E-2</v>
      </c>
      <c r="I430" s="14">
        <f t="shared" si="10"/>
        <v>-2.0202020202020221E-2</v>
      </c>
      <c r="J430" s="14">
        <f t="shared" si="10"/>
        <v>-3.4722222222222099E-3</v>
      </c>
      <c r="K430" s="14">
        <f t="shared" si="10"/>
        <v>-6.8965517241379337E-2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35">
      <c r="A431" s="12">
        <v>44369</v>
      </c>
      <c r="B431" s="20">
        <v>16400</v>
      </c>
      <c r="C431" s="20">
        <v>24800</v>
      </c>
      <c r="D431" s="20">
        <v>9900</v>
      </c>
      <c r="E431" s="20">
        <v>28800</v>
      </c>
      <c r="F431" s="20">
        <v>20300</v>
      </c>
      <c r="G431" s="14">
        <f t="shared" si="10"/>
        <v>0</v>
      </c>
      <c r="H431" s="14">
        <f t="shared" si="10"/>
        <v>-1.195219123505975E-2</v>
      </c>
      <c r="I431" s="14">
        <f t="shared" si="10"/>
        <v>0</v>
      </c>
      <c r="J431" s="14">
        <f t="shared" si="10"/>
        <v>0</v>
      </c>
      <c r="K431" s="14">
        <f t="shared" si="10"/>
        <v>-9.7560975609756184E-3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35">
      <c r="A432" s="12">
        <v>44368</v>
      </c>
      <c r="B432" s="20">
        <v>16400</v>
      </c>
      <c r="C432" s="20">
        <v>25100</v>
      </c>
      <c r="D432" s="20">
        <v>9900</v>
      </c>
      <c r="E432" s="20">
        <v>28800</v>
      </c>
      <c r="F432" s="20">
        <v>20500</v>
      </c>
      <c r="G432" s="14">
        <f t="shared" si="10"/>
        <v>0</v>
      </c>
      <c r="H432" s="14">
        <f t="shared" si="10"/>
        <v>1.2096774193548487E-2</v>
      </c>
      <c r="I432" s="14">
        <f t="shared" si="10"/>
        <v>0</v>
      </c>
      <c r="J432" s="14">
        <f t="shared" si="10"/>
        <v>-3.4602076124568004E-3</v>
      </c>
      <c r="K432" s="14">
        <f t="shared" si="10"/>
        <v>2.7568922305764465E-2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35">
      <c r="A433" s="12">
        <v>44365</v>
      </c>
      <c r="B433" s="20">
        <v>16400</v>
      </c>
      <c r="C433" s="20">
        <v>24800</v>
      </c>
      <c r="D433" s="20">
        <v>9900</v>
      </c>
      <c r="E433" s="20">
        <v>28900</v>
      </c>
      <c r="F433" s="20">
        <v>19950</v>
      </c>
      <c r="G433" s="14">
        <f t="shared" si="10"/>
        <v>1.2345679012345734E-2</v>
      </c>
      <c r="H433" s="14">
        <f t="shared" si="10"/>
        <v>4.0485829959513442E-3</v>
      </c>
      <c r="I433" s="14">
        <f t="shared" si="10"/>
        <v>-1.0000000000000009E-2</v>
      </c>
      <c r="J433" s="14">
        <f t="shared" si="10"/>
        <v>1.7331022530329143E-3</v>
      </c>
      <c r="K433" s="14">
        <f t="shared" si="10"/>
        <v>-7.4626865671642006E-3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35">
      <c r="A434" s="12">
        <v>44364</v>
      </c>
      <c r="B434" s="20">
        <v>16200</v>
      </c>
      <c r="C434" s="20">
        <v>24700</v>
      </c>
      <c r="D434" s="20">
        <v>10000</v>
      </c>
      <c r="E434" s="20">
        <v>28850</v>
      </c>
      <c r="F434" s="20">
        <v>20100</v>
      </c>
      <c r="G434" s="14">
        <f t="shared" si="10"/>
        <v>-6.1349693251533388E-3</v>
      </c>
      <c r="H434" s="14">
        <f t="shared" si="10"/>
        <v>-1.2000000000000011E-2</v>
      </c>
      <c r="I434" s="14">
        <f t="shared" si="10"/>
        <v>-9.9009900990099098E-3</v>
      </c>
      <c r="J434" s="14">
        <f t="shared" si="10"/>
        <v>-5.1724137931034031E-3</v>
      </c>
      <c r="K434" s="14">
        <f t="shared" si="10"/>
        <v>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35">
      <c r="A435" s="12">
        <v>44363</v>
      </c>
      <c r="B435" s="20">
        <v>16300</v>
      </c>
      <c r="C435" s="20">
        <v>25000</v>
      </c>
      <c r="D435" s="20">
        <v>10100</v>
      </c>
      <c r="E435" s="20">
        <v>29000</v>
      </c>
      <c r="F435" s="20">
        <v>20100</v>
      </c>
      <c r="G435" s="14">
        <f t="shared" si="10"/>
        <v>0</v>
      </c>
      <c r="H435" s="14">
        <f t="shared" si="10"/>
        <v>-7.9365079365079083E-3</v>
      </c>
      <c r="I435" s="14">
        <f t="shared" si="10"/>
        <v>-9.8039215686274161E-3</v>
      </c>
      <c r="J435" s="14">
        <f t="shared" si="10"/>
        <v>5.199306759098743E-3</v>
      </c>
      <c r="K435" s="14">
        <f t="shared" si="10"/>
        <v>-6.944444444444442E-2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35">
      <c r="A436" s="12">
        <v>44362</v>
      </c>
      <c r="B436" s="20">
        <v>16300</v>
      </c>
      <c r="C436" s="20">
        <v>25200</v>
      </c>
      <c r="D436" s="20">
        <v>10200</v>
      </c>
      <c r="E436" s="20">
        <v>28850</v>
      </c>
      <c r="F436" s="20">
        <v>21600</v>
      </c>
      <c r="G436" s="14">
        <f t="shared" si="10"/>
        <v>-6.0975609756097615E-3</v>
      </c>
      <c r="H436" s="14">
        <f t="shared" si="10"/>
        <v>-3.9525691699604515E-3</v>
      </c>
      <c r="I436" s="14">
        <f t="shared" si="10"/>
        <v>-9.7087378640776656E-3</v>
      </c>
      <c r="J436" s="14">
        <f t="shared" si="10"/>
        <v>-3.4542314335060942E-3</v>
      </c>
      <c r="K436" s="14">
        <f t="shared" si="10"/>
        <v>-1.1441647597253968E-2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35">
      <c r="A437" s="12">
        <v>44361</v>
      </c>
      <c r="B437" s="20">
        <v>16400</v>
      </c>
      <c r="C437" s="20">
        <v>25300</v>
      </c>
      <c r="D437" s="20">
        <v>10300</v>
      </c>
      <c r="E437" s="20">
        <v>28950</v>
      </c>
      <c r="F437" s="20">
        <v>21850</v>
      </c>
      <c r="G437" s="14">
        <f t="shared" si="10"/>
        <v>-6.0606060606060996E-3</v>
      </c>
      <c r="H437" s="14">
        <f t="shared" si="10"/>
        <v>2.2222222222222143E-2</v>
      </c>
      <c r="I437" s="14">
        <f t="shared" si="10"/>
        <v>0</v>
      </c>
      <c r="J437" s="14">
        <f t="shared" si="10"/>
        <v>-3.4423407917383297E-3</v>
      </c>
      <c r="K437" s="14">
        <f t="shared" si="10"/>
        <v>6.8459657701711585E-2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35">
      <c r="A438" s="12">
        <v>44358</v>
      </c>
      <c r="B438" s="20">
        <v>16500</v>
      </c>
      <c r="C438" s="20">
        <v>24750</v>
      </c>
      <c r="D438" s="20">
        <v>10300</v>
      </c>
      <c r="E438" s="20">
        <v>29050</v>
      </c>
      <c r="F438" s="20">
        <v>20450</v>
      </c>
      <c r="G438" s="14">
        <f t="shared" si="10"/>
        <v>1.8518518518518601E-2</v>
      </c>
      <c r="H438" s="14">
        <f t="shared" si="10"/>
        <v>2.0242914979757831E-3</v>
      </c>
      <c r="I438" s="14">
        <f t="shared" si="10"/>
        <v>0</v>
      </c>
      <c r="J438" s="14">
        <f t="shared" si="10"/>
        <v>-8.5324232081911422E-3</v>
      </c>
      <c r="K438" s="14">
        <f t="shared" si="10"/>
        <v>6.788511749347248E-2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35">
      <c r="A439" s="12">
        <v>44357</v>
      </c>
      <c r="B439" s="20">
        <v>16200</v>
      </c>
      <c r="C439" s="20">
        <v>24700</v>
      </c>
      <c r="D439" s="20">
        <v>10300</v>
      </c>
      <c r="E439" s="20">
        <v>29300</v>
      </c>
      <c r="F439" s="20">
        <v>19150</v>
      </c>
      <c r="G439" s="14">
        <f t="shared" si="10"/>
        <v>6.2111801242235032E-3</v>
      </c>
      <c r="H439" s="14">
        <f t="shared" si="10"/>
        <v>-2.0202020202020332E-3</v>
      </c>
      <c r="I439" s="14">
        <f t="shared" si="10"/>
        <v>9.8039215686274161E-3</v>
      </c>
      <c r="J439" s="14">
        <f t="shared" si="10"/>
        <v>-8.4602368866327771E-3</v>
      </c>
      <c r="K439" s="14">
        <f t="shared" si="10"/>
        <v>3.2345013477088846E-2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35">
      <c r="A440" s="12">
        <v>44356</v>
      </c>
      <c r="B440" s="20">
        <v>16100</v>
      </c>
      <c r="C440" s="20">
        <v>24750</v>
      </c>
      <c r="D440" s="20">
        <v>10200</v>
      </c>
      <c r="E440" s="20">
        <v>29550</v>
      </c>
      <c r="F440" s="20">
        <v>18550</v>
      </c>
      <c r="G440" s="14">
        <f t="shared" si="10"/>
        <v>-1.8292682926829285E-2</v>
      </c>
      <c r="H440" s="14">
        <f t="shared" si="10"/>
        <v>-6.0240963855421326E-3</v>
      </c>
      <c r="I440" s="14">
        <f t="shared" si="10"/>
        <v>-9.7087378640776656E-3</v>
      </c>
      <c r="J440" s="14">
        <f t="shared" si="10"/>
        <v>3.3955857385399302E-3</v>
      </c>
      <c r="K440" s="14">
        <f t="shared" si="10"/>
        <v>8.152173913043459E-3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5">
      <c r="A441" s="12">
        <v>44355</v>
      </c>
      <c r="B441" s="20">
        <v>16400</v>
      </c>
      <c r="C441" s="20">
        <v>24900</v>
      </c>
      <c r="D441" s="20">
        <v>10300</v>
      </c>
      <c r="E441" s="20">
        <v>29450</v>
      </c>
      <c r="F441" s="20">
        <v>18400</v>
      </c>
      <c r="G441" s="14">
        <f t="shared" si="10"/>
        <v>-2.9585798816568087E-2</v>
      </c>
      <c r="H441" s="14">
        <f t="shared" si="10"/>
        <v>-2.0040080160320661E-3</v>
      </c>
      <c r="I441" s="14">
        <f t="shared" si="10"/>
        <v>0</v>
      </c>
      <c r="J441" s="14">
        <f t="shared" si="10"/>
        <v>-6.7453625632377667E-3</v>
      </c>
      <c r="K441" s="14">
        <f t="shared" si="10"/>
        <v>2.2222222222222143E-2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5">
      <c r="A442" s="12">
        <v>44354</v>
      </c>
      <c r="B442" s="20">
        <v>16900</v>
      </c>
      <c r="C442" s="20">
        <v>24950</v>
      </c>
      <c r="D442" s="20">
        <v>10300</v>
      </c>
      <c r="E442" s="20">
        <v>29650</v>
      </c>
      <c r="F442" s="20">
        <v>18000</v>
      </c>
      <c r="G442" s="14">
        <f t="shared" si="10"/>
        <v>4.9689440993788914E-2</v>
      </c>
      <c r="H442" s="14">
        <f t="shared" si="10"/>
        <v>-2.0000000000000018E-3</v>
      </c>
      <c r="I442" s="14">
        <f t="shared" si="10"/>
        <v>9.8039215686274161E-3</v>
      </c>
      <c r="J442" s="14">
        <f t="shared" si="10"/>
        <v>1.6891891891892552E-3</v>
      </c>
      <c r="K442" s="14">
        <f t="shared" si="10"/>
        <v>1.9830028328611915E-2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5">
      <c r="A443" s="12">
        <v>44351</v>
      </c>
      <c r="B443" s="20">
        <v>16100</v>
      </c>
      <c r="C443" s="20">
        <v>25000</v>
      </c>
      <c r="D443" s="20">
        <v>10200</v>
      </c>
      <c r="E443" s="20">
        <v>29600</v>
      </c>
      <c r="F443" s="20">
        <v>17650</v>
      </c>
      <c r="G443" s="14">
        <f t="shared" si="10"/>
        <v>2.5477707006369421E-2</v>
      </c>
      <c r="H443" s="14">
        <f t="shared" si="10"/>
        <v>8.0645161290322509E-3</v>
      </c>
      <c r="I443" s="14">
        <f t="shared" si="10"/>
        <v>0</v>
      </c>
      <c r="J443" s="14">
        <f t="shared" si="10"/>
        <v>-3.3670033670033517E-3</v>
      </c>
      <c r="K443" s="14">
        <f t="shared" si="10"/>
        <v>-8.4269662921347965E-3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5">
      <c r="A444" s="12">
        <v>44350</v>
      </c>
      <c r="B444" s="20">
        <v>15700</v>
      </c>
      <c r="C444" s="20">
        <v>24800</v>
      </c>
      <c r="D444" s="20">
        <v>10200</v>
      </c>
      <c r="E444" s="20">
        <v>29700</v>
      </c>
      <c r="F444" s="20">
        <v>17800</v>
      </c>
      <c r="G444" s="14">
        <f t="shared" si="10"/>
        <v>6.4102564102563875E-3</v>
      </c>
      <c r="H444" s="14">
        <f t="shared" si="10"/>
        <v>0</v>
      </c>
      <c r="I444" s="14">
        <f t="shared" si="10"/>
        <v>-9.7087378640776656E-3</v>
      </c>
      <c r="J444" s="14">
        <f t="shared" si="10"/>
        <v>6.7796610169490457E-3</v>
      </c>
      <c r="K444" s="14">
        <f t="shared" si="10"/>
        <v>-8.3565459610027704E-3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35">
      <c r="A445" s="12">
        <v>44349</v>
      </c>
      <c r="B445" s="20">
        <v>15600</v>
      </c>
      <c r="C445" s="20">
        <v>24800</v>
      </c>
      <c r="D445" s="20">
        <v>10300</v>
      </c>
      <c r="E445" s="20">
        <v>29500</v>
      </c>
      <c r="F445" s="20">
        <v>17950</v>
      </c>
      <c r="G445" s="14">
        <f t="shared" si="10"/>
        <v>-4.2944785276073594E-2</v>
      </c>
      <c r="H445" s="14">
        <f t="shared" si="10"/>
        <v>-2.7450980392156876E-2</v>
      </c>
      <c r="I445" s="14">
        <f t="shared" si="10"/>
        <v>-9.6153846153845812E-3</v>
      </c>
      <c r="J445" s="14">
        <f t="shared" si="10"/>
        <v>-8.4033613445377853E-3</v>
      </c>
      <c r="K445" s="14">
        <f t="shared" si="10"/>
        <v>-5.0264550264550234E-2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35">
      <c r="A446" s="12">
        <v>44348</v>
      </c>
      <c r="B446" s="20">
        <v>16300</v>
      </c>
      <c r="C446" s="20">
        <v>25500</v>
      </c>
      <c r="D446" s="20">
        <v>10400</v>
      </c>
      <c r="E446" s="20">
        <v>29750</v>
      </c>
      <c r="F446" s="20">
        <v>18900</v>
      </c>
      <c r="G446" s="14">
        <f t="shared" si="10"/>
        <v>-5.7803468208092457E-2</v>
      </c>
      <c r="H446" s="14">
        <f t="shared" si="10"/>
        <v>-1.5444015444015413E-2</v>
      </c>
      <c r="I446" s="14">
        <f t="shared" si="10"/>
        <v>0</v>
      </c>
      <c r="J446" s="14">
        <f t="shared" si="10"/>
        <v>-1.490066225165565E-2</v>
      </c>
      <c r="K446" s="14">
        <f t="shared" si="10"/>
        <v>1.0695187165775444E-2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35">
      <c r="A447" s="12">
        <v>44347</v>
      </c>
      <c r="B447" s="20">
        <v>17300</v>
      </c>
      <c r="C447" s="20">
        <v>25900</v>
      </c>
      <c r="D447" s="20">
        <v>10400</v>
      </c>
      <c r="E447" s="20">
        <v>30200</v>
      </c>
      <c r="F447" s="20">
        <v>18700</v>
      </c>
      <c r="G447" s="14">
        <f t="shared" si="10"/>
        <v>-5.4644808743169349E-2</v>
      </c>
      <c r="H447" s="14">
        <f t="shared" si="10"/>
        <v>-7.6628352490420992E-3</v>
      </c>
      <c r="I447" s="14">
        <f t="shared" si="10"/>
        <v>-4.587155963302747E-2</v>
      </c>
      <c r="J447" s="14">
        <f t="shared" si="10"/>
        <v>3.3222591362125353E-3</v>
      </c>
      <c r="K447" s="14">
        <f t="shared" si="10"/>
        <v>6.8571428571428505E-2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35">
      <c r="A448" s="12">
        <v>44344</v>
      </c>
      <c r="B448" s="20">
        <v>18300</v>
      </c>
      <c r="C448" s="20">
        <v>26100</v>
      </c>
      <c r="D448" s="20">
        <v>10900</v>
      </c>
      <c r="E448" s="20">
        <v>30100</v>
      </c>
      <c r="F448" s="20">
        <v>17500</v>
      </c>
      <c r="G448" s="14">
        <f t="shared" si="10"/>
        <v>0</v>
      </c>
      <c r="H448" s="14">
        <f t="shared" si="10"/>
        <v>3.8461538461538325E-3</v>
      </c>
      <c r="I448" s="14">
        <f t="shared" si="10"/>
        <v>9.000000000000008E-2</v>
      </c>
      <c r="J448" s="14">
        <f t="shared" si="10"/>
        <v>1.0067114093959662E-2</v>
      </c>
      <c r="K448" s="14">
        <f t="shared" si="10"/>
        <v>6.7073170731707377E-2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35">
      <c r="A449" s="12">
        <v>44343</v>
      </c>
      <c r="B449" s="20">
        <v>18300</v>
      </c>
      <c r="C449" s="20">
        <v>26000</v>
      </c>
      <c r="D449" s="20">
        <v>10000</v>
      </c>
      <c r="E449" s="20">
        <v>29800</v>
      </c>
      <c r="F449" s="20">
        <v>16400</v>
      </c>
      <c r="G449" s="14">
        <f t="shared" si="10"/>
        <v>2.8089887640449396E-2</v>
      </c>
      <c r="H449" s="14">
        <f t="shared" si="10"/>
        <v>1.5625E-2</v>
      </c>
      <c r="I449" s="14">
        <f t="shared" si="10"/>
        <v>2.0408163265306145E-2</v>
      </c>
      <c r="J449" s="14">
        <f t="shared" si="10"/>
        <v>5.0590219224282418E-3</v>
      </c>
      <c r="K449" s="14">
        <f t="shared" si="10"/>
        <v>6.1349693251533388E-3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35">
      <c r="A450" s="12">
        <v>44342</v>
      </c>
      <c r="B450" s="20">
        <v>17800</v>
      </c>
      <c r="C450" s="20">
        <v>25600</v>
      </c>
      <c r="D450" s="20">
        <v>9800</v>
      </c>
      <c r="E450" s="20">
        <v>29650</v>
      </c>
      <c r="F450" s="20">
        <v>16300</v>
      </c>
      <c r="G450" s="14">
        <f t="shared" si="10"/>
        <v>-5.5865921787709993E-3</v>
      </c>
      <c r="H450" s="14">
        <f t="shared" si="10"/>
        <v>-1.9493177387914784E-3</v>
      </c>
      <c r="I450" s="14">
        <f t="shared" si="10"/>
        <v>0</v>
      </c>
      <c r="J450" s="14">
        <f t="shared" si="10"/>
        <v>-1.6835016835017313E-3</v>
      </c>
      <c r="K450" s="14">
        <f t="shared" si="10"/>
        <v>-6.0975609756097615E-3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5">
      <c r="A451" s="12">
        <v>44341</v>
      </c>
      <c r="B451" s="20">
        <v>17900</v>
      </c>
      <c r="C451" s="20">
        <v>25650</v>
      </c>
      <c r="D451" s="20">
        <v>9800</v>
      </c>
      <c r="E451" s="20">
        <v>29700</v>
      </c>
      <c r="F451" s="20">
        <v>16400</v>
      </c>
      <c r="G451" s="14">
        <f t="shared" si="10"/>
        <v>-5.5555555555555358E-3</v>
      </c>
      <c r="H451" s="14">
        <f t="shared" si="10"/>
        <v>0</v>
      </c>
      <c r="I451" s="14">
        <f t="shared" si="10"/>
        <v>0</v>
      </c>
      <c r="J451" s="14">
        <f t="shared" si="10"/>
        <v>-5.0251256281407253E-3</v>
      </c>
      <c r="K451" s="14">
        <f t="shared" si="10"/>
        <v>6.1349693251533388E-3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5">
      <c r="A452" s="12">
        <v>44340</v>
      </c>
      <c r="B452" s="20">
        <v>18000</v>
      </c>
      <c r="C452" s="20">
        <v>25650</v>
      </c>
      <c r="D452" s="20">
        <v>9800</v>
      </c>
      <c r="E452" s="20">
        <v>29850</v>
      </c>
      <c r="F452" s="20">
        <v>16300</v>
      </c>
      <c r="G452" s="14">
        <f t="shared" si="10"/>
        <v>1.1235955056179803E-2</v>
      </c>
      <c r="H452" s="14">
        <f t="shared" si="10"/>
        <v>0</v>
      </c>
      <c r="I452" s="14">
        <f t="shared" si="10"/>
        <v>-2.0000000000000018E-2</v>
      </c>
      <c r="J452" s="14">
        <f t="shared" si="10"/>
        <v>6.7453625632378778E-3</v>
      </c>
      <c r="K452" s="14">
        <f t="shared" si="10"/>
        <v>-1.2121212121212088E-2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5">
      <c r="A453" s="12">
        <v>44337</v>
      </c>
      <c r="B453" s="20">
        <v>17800</v>
      </c>
      <c r="C453" s="20">
        <v>25650</v>
      </c>
      <c r="D453" s="20">
        <v>10000</v>
      </c>
      <c r="E453" s="20">
        <v>29650</v>
      </c>
      <c r="F453" s="20">
        <v>16500</v>
      </c>
      <c r="G453" s="14">
        <f t="shared" si="10"/>
        <v>-1.1111111111111072E-2</v>
      </c>
      <c r="H453" s="14">
        <f t="shared" si="10"/>
        <v>-1.9455252918287869E-3</v>
      </c>
      <c r="I453" s="14">
        <f t="shared" si="10"/>
        <v>0</v>
      </c>
      <c r="J453" s="14">
        <f t="shared" si="10"/>
        <v>5.0847457627118953E-3</v>
      </c>
      <c r="K453" s="14">
        <f t="shared" si="10"/>
        <v>-1.4925373134328401E-2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5">
      <c r="A454" s="12">
        <v>44336</v>
      </c>
      <c r="B454" s="20">
        <v>18000</v>
      </c>
      <c r="C454" s="20">
        <v>25700</v>
      </c>
      <c r="D454" s="20">
        <v>10000</v>
      </c>
      <c r="E454" s="20">
        <v>29500</v>
      </c>
      <c r="F454" s="20">
        <v>16750</v>
      </c>
      <c r="G454" s="14">
        <f t="shared" si="10"/>
        <v>0</v>
      </c>
      <c r="H454" s="14">
        <f t="shared" si="10"/>
        <v>-7.7220077220077066E-3</v>
      </c>
      <c r="I454" s="14">
        <f t="shared" si="10"/>
        <v>0</v>
      </c>
      <c r="J454" s="14">
        <f t="shared" si="10"/>
        <v>-2.1558872305140975E-2</v>
      </c>
      <c r="K454" s="14">
        <f t="shared" si="10"/>
        <v>9.0361445783131433E-3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5">
      <c r="A455" s="12">
        <v>44335</v>
      </c>
      <c r="B455" s="20">
        <v>18000</v>
      </c>
      <c r="C455" s="20">
        <v>25900</v>
      </c>
      <c r="D455" s="20">
        <v>10000</v>
      </c>
      <c r="E455" s="20">
        <v>30150</v>
      </c>
      <c r="F455" s="20">
        <v>16600</v>
      </c>
      <c r="G455" s="14">
        <f t="shared" si="10"/>
        <v>-2.1739130434782594E-2</v>
      </c>
      <c r="H455" s="14">
        <f t="shared" si="10"/>
        <v>-1.9267822736031004E-3</v>
      </c>
      <c r="I455" s="14">
        <f t="shared" si="10"/>
        <v>0</v>
      </c>
      <c r="J455" s="14">
        <f t="shared" si="10"/>
        <v>-8.2236842105263275E-3</v>
      </c>
      <c r="K455" s="14">
        <f t="shared" si="10"/>
        <v>0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5">
      <c r="A456" s="12">
        <v>44334</v>
      </c>
      <c r="B456" s="20">
        <v>18400</v>
      </c>
      <c r="C456" s="20">
        <v>25950</v>
      </c>
      <c r="D456" s="20">
        <v>10000</v>
      </c>
      <c r="E456" s="20">
        <v>30400</v>
      </c>
      <c r="F456" s="20">
        <v>16600</v>
      </c>
      <c r="G456" s="14"/>
      <c r="H456" s="14"/>
      <c r="I456" s="14"/>
      <c r="J456" s="14"/>
      <c r="K456" s="1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</sheetData>
  <mergeCells count="14">
    <mergeCell ref="A1:K1"/>
    <mergeCell ref="A2:A3"/>
    <mergeCell ref="B2:F2"/>
    <mergeCell ref="G2:K2"/>
    <mergeCell ref="M2:R2"/>
    <mergeCell ref="S29:U29"/>
    <mergeCell ref="M32:O32"/>
    <mergeCell ref="Z2:AA2"/>
    <mergeCell ref="M11:Y11"/>
    <mergeCell ref="M24:O24"/>
    <mergeCell ref="P24:Q24"/>
    <mergeCell ref="S24:V24"/>
    <mergeCell ref="S28:U28"/>
    <mergeCell ref="S2:X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6"/>
  <sheetViews>
    <sheetView topLeftCell="R1" zoomScale="68" zoomScaleNormal="115" workbookViewId="0">
      <selection activeCell="AA6" sqref="AA6"/>
    </sheetView>
  </sheetViews>
  <sheetFormatPr defaultColWidth="8.81640625" defaultRowHeight="15.5" x14ac:dyDescent="0.35"/>
  <cols>
    <col min="1" max="1" width="11.81640625" style="11" bestFit="1" customWidth="1"/>
    <col min="2" max="11" width="9.1796875" style="11" bestFit="1" customWidth="1"/>
    <col min="13" max="13" width="19.6328125" bestFit="1" customWidth="1"/>
    <col min="14" max="14" width="15.6328125" customWidth="1"/>
    <col min="15" max="15" width="19" customWidth="1"/>
    <col min="16" max="16" width="15.36328125" bestFit="1" customWidth="1"/>
    <col min="17" max="17" width="17.81640625" customWidth="1"/>
    <col min="18" max="18" width="14.81640625" bestFit="1" customWidth="1"/>
    <col min="19" max="20" width="13.1796875" customWidth="1"/>
    <col min="21" max="21" width="13.36328125" customWidth="1"/>
    <col min="22" max="24" width="14.81640625" bestFit="1" customWidth="1"/>
    <col min="25" max="25" width="16" customWidth="1"/>
    <col min="26" max="26" width="24.1796875" bestFit="1" customWidth="1"/>
    <col min="27" max="27" width="13.81640625" customWidth="1"/>
    <col min="33" max="33" width="15.1796875" customWidth="1"/>
    <col min="34" max="34" width="9.6328125" bestFit="1" customWidth="1"/>
  </cols>
  <sheetData>
    <row r="1" spans="1:37" ht="19" thickBot="1" x14ac:dyDescent="0.5">
      <c r="A1" s="82" t="s">
        <v>16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37" ht="17.5" thickBot="1" x14ac:dyDescent="0.4">
      <c r="A2" s="74" t="s">
        <v>0</v>
      </c>
      <c r="B2" s="73" t="s">
        <v>10</v>
      </c>
      <c r="C2" s="73"/>
      <c r="D2" s="73"/>
      <c r="E2" s="73"/>
      <c r="F2" s="73"/>
      <c r="G2" s="73" t="s">
        <v>9</v>
      </c>
      <c r="H2" s="73"/>
      <c r="I2" s="73"/>
      <c r="J2" s="73"/>
      <c r="K2" s="73"/>
      <c r="L2" s="1"/>
      <c r="M2" s="86" t="s">
        <v>22</v>
      </c>
      <c r="N2" s="87"/>
      <c r="O2" s="87"/>
      <c r="P2" s="87"/>
      <c r="Q2" s="87"/>
      <c r="R2" s="88"/>
      <c r="S2" s="76" t="s">
        <v>23</v>
      </c>
      <c r="T2" s="77"/>
      <c r="U2" s="77"/>
      <c r="V2" s="77"/>
      <c r="W2" s="77"/>
      <c r="X2" s="78"/>
      <c r="Y2" s="18"/>
      <c r="Z2" s="86" t="s">
        <v>26</v>
      </c>
      <c r="AA2" s="88"/>
      <c r="AB2" s="18"/>
      <c r="AC2" s="18"/>
      <c r="AD2" s="18"/>
    </row>
    <row r="3" spans="1:37" ht="17.5" thickBot="1" x14ac:dyDescent="0.4">
      <c r="A3" s="75"/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11</v>
      </c>
      <c r="H3" s="13" t="s">
        <v>12</v>
      </c>
      <c r="I3" s="13" t="s">
        <v>13</v>
      </c>
      <c r="J3" s="13" t="s">
        <v>14</v>
      </c>
      <c r="K3" s="13" t="s">
        <v>15</v>
      </c>
      <c r="L3" s="1"/>
      <c r="M3" s="49"/>
      <c r="N3" s="15" t="s">
        <v>1</v>
      </c>
      <c r="O3" s="15" t="s">
        <v>2</v>
      </c>
      <c r="P3" s="15" t="s">
        <v>20</v>
      </c>
      <c r="Q3" s="15" t="s">
        <v>21</v>
      </c>
      <c r="R3" s="34" t="s">
        <v>5</v>
      </c>
      <c r="S3" s="79"/>
      <c r="T3" s="80"/>
      <c r="U3" s="80"/>
      <c r="V3" s="80"/>
      <c r="W3" s="80"/>
      <c r="X3" s="81"/>
      <c r="Y3" s="18"/>
      <c r="Z3" s="3" t="s">
        <v>19</v>
      </c>
      <c r="AA3" s="28" cm="1">
        <f t="array" ref="AA3">MMULT(MMULT(TRANSPOSE(O4:O8),T5:X9),O4:O8)</f>
        <v>2.0778501513906947E-3</v>
      </c>
      <c r="AB3" s="18"/>
      <c r="AC3" s="18"/>
      <c r="AD3" s="18"/>
      <c r="AK3" s="17"/>
    </row>
    <row r="4" spans="1:37" x14ac:dyDescent="0.35">
      <c r="A4" s="12">
        <v>44993</v>
      </c>
      <c r="B4" s="20">
        <v>30300</v>
      </c>
      <c r="C4" s="20">
        <v>49800</v>
      </c>
      <c r="D4" s="20">
        <v>37600</v>
      </c>
      <c r="E4" s="20">
        <v>47600</v>
      </c>
      <c r="F4" s="20">
        <v>69500</v>
      </c>
      <c r="G4" s="14">
        <f>B4/B5-1</f>
        <v>3.0612244897959107E-2</v>
      </c>
      <c r="H4" s="14">
        <f t="shared" ref="H4:K4" si="0">C4/C5-1</f>
        <v>1.6326530612244872E-2</v>
      </c>
      <c r="I4" s="14">
        <f t="shared" si="0"/>
        <v>9.3023255813953432E-2</v>
      </c>
      <c r="J4" s="14">
        <f t="shared" si="0"/>
        <v>1.8181818181818077E-2</v>
      </c>
      <c r="K4" s="14">
        <f t="shared" si="0"/>
        <v>2.8106508875739733E-2</v>
      </c>
      <c r="L4" s="1"/>
      <c r="M4" s="33" t="s">
        <v>11</v>
      </c>
      <c r="N4" s="36">
        <f>AVERAGE(G4:G455)</f>
        <v>1.652301561065542E-3</v>
      </c>
      <c r="O4" s="26">
        <v>-0.48475268743643768</v>
      </c>
      <c r="P4" s="37">
        <f>_xlfn.VAR.S(G4:G456)</f>
        <v>1.0938749246029846E-3</v>
      </c>
      <c r="Q4" s="38">
        <f>SQRT(P4)</f>
        <v>3.307378001684997E-2</v>
      </c>
      <c r="R4" s="39">
        <f>O4*N4</f>
        <v>-8.0095762218194272E-4</v>
      </c>
      <c r="S4" s="50"/>
      <c r="T4" s="51" t="s">
        <v>11</v>
      </c>
      <c r="U4" s="51" t="s">
        <v>12</v>
      </c>
      <c r="V4" s="51" t="s">
        <v>13</v>
      </c>
      <c r="W4" s="51" t="s">
        <v>14</v>
      </c>
      <c r="X4" s="52" t="s">
        <v>15</v>
      </c>
      <c r="Y4" s="15"/>
      <c r="Z4" s="3" t="s">
        <v>3</v>
      </c>
      <c r="AA4" s="28">
        <f>SQRT(AA3)</f>
        <v>4.5583441636088587E-2</v>
      </c>
      <c r="AB4" s="15"/>
      <c r="AC4" s="15"/>
      <c r="AD4" s="15"/>
    </row>
    <row r="5" spans="1:37" x14ac:dyDescent="0.35">
      <c r="A5" s="12">
        <v>44992</v>
      </c>
      <c r="B5" s="20">
        <v>29400</v>
      </c>
      <c r="C5" s="20">
        <v>49000</v>
      </c>
      <c r="D5" s="20">
        <v>34400</v>
      </c>
      <c r="E5" s="20">
        <v>46750</v>
      </c>
      <c r="F5" s="20">
        <v>67600</v>
      </c>
      <c r="G5" s="14">
        <f t="shared" ref="G5:G68" si="1">B5/B6-1</f>
        <v>-2.9702970297029729E-2</v>
      </c>
      <c r="H5" s="14">
        <f t="shared" ref="H5:H68" si="2">C5/C6-1</f>
        <v>-1.1099899091826404E-2</v>
      </c>
      <c r="I5" s="14">
        <f t="shared" ref="I5:I68" si="3">D5/D6-1</f>
        <v>3.92749244712991E-2</v>
      </c>
      <c r="J5" s="14">
        <f t="shared" ref="J5:J68" si="4">E5/E6-1</f>
        <v>-2.604166666666663E-2</v>
      </c>
      <c r="K5" s="14">
        <f t="shared" ref="K5:K68" si="5">F5/F6-1</f>
        <v>-1.744186046511631E-2</v>
      </c>
      <c r="L5" s="1"/>
      <c r="M5" s="33" t="s">
        <v>12</v>
      </c>
      <c r="N5" s="36">
        <f>AVERAGE(H4:H455)</f>
        <v>1.7525797634170093E-3</v>
      </c>
      <c r="O5" s="26">
        <v>-0.11180532216710733</v>
      </c>
      <c r="P5" s="37">
        <f>_xlfn.VAR.S(H4:H456)</f>
        <v>6.2029231838764095E-4</v>
      </c>
      <c r="Q5" s="38">
        <f t="shared" ref="Q5:Q8" si="6">SQRT(P5)</f>
        <v>2.4905668398732865E-2</v>
      </c>
      <c r="R5" s="39">
        <f>O5*N5</f>
        <v>-1.9594774507239145E-4</v>
      </c>
      <c r="S5" s="45" t="s">
        <v>11</v>
      </c>
      <c r="T5" s="29">
        <f>_xlfn.VAR.S(Final!$G$4:$G$455)</f>
        <v>1.0938749246029846E-3</v>
      </c>
      <c r="U5" s="22">
        <f>T6</f>
        <v>4.0253244724493199E-4</v>
      </c>
      <c r="V5" s="22">
        <f>T7</f>
        <v>5.4749132963705864E-4</v>
      </c>
      <c r="W5" s="22">
        <f>T8</f>
        <v>1.6169279274742788E-4</v>
      </c>
      <c r="X5" s="46">
        <f>T9</f>
        <v>2.932471774427577E-4</v>
      </c>
      <c r="Y5" s="15"/>
      <c r="Z5" s="3" t="s">
        <v>33</v>
      </c>
      <c r="AA5" s="28">
        <f>$R$9</f>
        <v>6.0000000832326345E-3</v>
      </c>
      <c r="AB5" s="16"/>
      <c r="AC5" s="16"/>
      <c r="AD5" s="16"/>
    </row>
    <row r="6" spans="1:37" ht="16" thickBot="1" x14ac:dyDescent="0.4">
      <c r="A6" s="12">
        <v>44991</v>
      </c>
      <c r="B6" s="20">
        <v>30300</v>
      </c>
      <c r="C6" s="20">
        <v>49550</v>
      </c>
      <c r="D6" s="20">
        <v>33100</v>
      </c>
      <c r="E6" s="20">
        <v>48000</v>
      </c>
      <c r="F6" s="20">
        <v>68800</v>
      </c>
      <c r="G6" s="14">
        <f t="shared" si="1"/>
        <v>6.6445182724252927E-3</v>
      </c>
      <c r="H6" s="14">
        <f t="shared" si="2"/>
        <v>3.0364372469635637E-3</v>
      </c>
      <c r="I6" s="14">
        <f t="shared" si="3"/>
        <v>-6.0060060060059817E-3</v>
      </c>
      <c r="J6" s="14">
        <f t="shared" si="4"/>
        <v>-1.6393442622950838E-2</v>
      </c>
      <c r="K6" s="14">
        <f t="shared" si="5"/>
        <v>-1.7142857142857126E-2</v>
      </c>
      <c r="L6" s="1"/>
      <c r="M6" s="33" t="s">
        <v>13</v>
      </c>
      <c r="N6" s="36">
        <f>AVERAGE(I4:I455)</f>
        <v>3.4928059352298175E-3</v>
      </c>
      <c r="O6" s="26">
        <v>0.97384670487052172</v>
      </c>
      <c r="P6" s="37">
        <f>_xlfn.VAR.S(I4:I456)</f>
        <v>1.1235409040893094E-3</v>
      </c>
      <c r="Q6" s="38">
        <f t="shared" si="6"/>
        <v>3.3519261687711882E-2</v>
      </c>
      <c r="R6" s="39">
        <f>O6*N6</f>
        <v>3.4014575507757589E-3</v>
      </c>
      <c r="S6" s="45" t="s">
        <v>12</v>
      </c>
      <c r="T6" s="23">
        <f>_xlfn.COVARIANCE.S(G4:G455,H4:H455)</f>
        <v>4.0253244724493199E-4</v>
      </c>
      <c r="U6" s="29">
        <f>_xlfn.VAR.S(Final!$H$4:$H$455)</f>
        <v>6.2029231838764095E-4</v>
      </c>
      <c r="V6" s="22">
        <f>U7</f>
        <v>2.985841048855942E-4</v>
      </c>
      <c r="W6" s="22">
        <f>U8</f>
        <v>1.1782043873541298E-4</v>
      </c>
      <c r="X6" s="46">
        <f>U9</f>
        <v>2.5112444568893783E-4</v>
      </c>
      <c r="Y6" s="15"/>
      <c r="Z6" s="5" t="s">
        <v>6</v>
      </c>
      <c r="AA6" s="31">
        <f>(AA5-V28)/AA4</f>
        <v>0.12888542348394669</v>
      </c>
      <c r="AB6" s="16"/>
      <c r="AC6" s="16"/>
      <c r="AD6" s="16"/>
    </row>
    <row r="7" spans="1:37" x14ac:dyDescent="0.35">
      <c r="A7" s="12">
        <v>44988</v>
      </c>
      <c r="B7" s="20">
        <v>30100</v>
      </c>
      <c r="C7" s="20">
        <v>49400</v>
      </c>
      <c r="D7" s="20">
        <v>33300</v>
      </c>
      <c r="E7" s="20">
        <v>48800</v>
      </c>
      <c r="F7" s="20">
        <v>70000</v>
      </c>
      <c r="G7" s="14">
        <f t="shared" si="1"/>
        <v>-1.3114754098360604E-2</v>
      </c>
      <c r="H7" s="14">
        <f t="shared" si="2"/>
        <v>-1.2000000000000011E-2</v>
      </c>
      <c r="I7" s="14">
        <f t="shared" si="3"/>
        <v>1.5243902439024293E-2</v>
      </c>
      <c r="J7" s="14">
        <f t="shared" si="4"/>
        <v>4.115226337448652E-3</v>
      </c>
      <c r="K7" s="14">
        <f t="shared" si="5"/>
        <v>1.4306151645206988E-3</v>
      </c>
      <c r="L7" s="1"/>
      <c r="M7" s="33" t="s">
        <v>14</v>
      </c>
      <c r="N7" s="36">
        <f>AVERAGE(J4:J455)</f>
        <v>1.1159312585390282E-3</v>
      </c>
      <c r="O7" s="26">
        <v>-0.52851301010645857</v>
      </c>
      <c r="P7" s="37">
        <f>_xlfn.VAR.S(J4:J456)</f>
        <v>2.494393870300391E-4</v>
      </c>
      <c r="Q7" s="38">
        <f t="shared" si="6"/>
        <v>1.5793650212349238E-2</v>
      </c>
      <c r="R7" s="39">
        <f>O7*N7</f>
        <v>-5.897841885223505E-4</v>
      </c>
      <c r="S7" s="45" t="s">
        <v>13</v>
      </c>
      <c r="T7" s="23">
        <f>_xlfn.COVARIANCE.S(G4:G455,I4:I455)</f>
        <v>5.4749132963705864E-4</v>
      </c>
      <c r="U7" s="23">
        <f>_xlfn.COVARIANCE.S(I4:I455,H4:H455)</f>
        <v>2.985841048855942E-4</v>
      </c>
      <c r="V7" s="29">
        <f>_xlfn.VAR.S(Final!$I$4:$I$455)</f>
        <v>1.1235409040893094E-3</v>
      </c>
      <c r="W7" s="22">
        <f>V8</f>
        <v>9.8580880146698451E-5</v>
      </c>
      <c r="X7" s="46">
        <f>V9</f>
        <v>2.2364526749506008E-4</v>
      </c>
      <c r="Y7" s="15"/>
      <c r="Z7" s="16"/>
      <c r="AA7" s="16"/>
      <c r="AB7" s="16"/>
      <c r="AC7" s="16"/>
      <c r="AD7" s="16"/>
    </row>
    <row r="8" spans="1:37" x14ac:dyDescent="0.35">
      <c r="A8" s="12">
        <v>44987</v>
      </c>
      <c r="B8" s="20">
        <v>30500</v>
      </c>
      <c r="C8" s="20">
        <v>50000</v>
      </c>
      <c r="D8" s="20">
        <v>32800</v>
      </c>
      <c r="E8" s="20">
        <v>48600</v>
      </c>
      <c r="F8" s="20">
        <v>69900</v>
      </c>
      <c r="G8" s="14">
        <f t="shared" si="1"/>
        <v>6.2717770034843134E-2</v>
      </c>
      <c r="H8" s="14">
        <f t="shared" si="2"/>
        <v>1.2145748987854255E-2</v>
      </c>
      <c r="I8" s="14">
        <f t="shared" si="3"/>
        <v>2.1806853582554409E-2</v>
      </c>
      <c r="J8" s="14">
        <f t="shared" si="4"/>
        <v>1.2499999999999956E-2</v>
      </c>
      <c r="K8" s="14">
        <f t="shared" si="5"/>
        <v>4.0178571428571397E-2</v>
      </c>
      <c r="L8" s="1"/>
      <c r="M8" s="33" t="s">
        <v>15</v>
      </c>
      <c r="N8" s="36">
        <f>AVERAGE(K4:K455)</f>
        <v>3.6354618594180033E-3</v>
      </c>
      <c r="O8" s="26">
        <v>1.1512243148394818</v>
      </c>
      <c r="P8" s="37">
        <f>_xlfn.VAR.S(K4:K456)</f>
        <v>9.23869982474531E-4</v>
      </c>
      <c r="Q8" s="38">
        <f t="shared" si="6"/>
        <v>3.0395229600622051E-2</v>
      </c>
      <c r="R8" s="39">
        <f>O8*N8</f>
        <v>4.1852320882335599E-3</v>
      </c>
      <c r="S8" s="45" t="s">
        <v>14</v>
      </c>
      <c r="T8" s="23">
        <f>_xlfn.COVARIANCE.S(G4:G455,J4:J455)</f>
        <v>1.6169279274742788E-4</v>
      </c>
      <c r="U8" s="23">
        <f>_xlfn.COVARIANCE.S(J4:J455,H4:H455)</f>
        <v>1.1782043873541298E-4</v>
      </c>
      <c r="V8" s="23">
        <f>_xlfn.COVARIANCE.S(I4:I455,J4:J455)</f>
        <v>9.8580880146698451E-5</v>
      </c>
      <c r="W8" s="30">
        <f>_xlfn.VAR.S(Final!$J$4:$J$455)</f>
        <v>2.494393870300391E-4</v>
      </c>
      <c r="X8" s="46">
        <f>W9</f>
        <v>9.2944112899018662E-5</v>
      </c>
      <c r="Y8" s="15"/>
      <c r="Z8" s="16"/>
      <c r="AA8" s="16"/>
      <c r="AB8" s="16"/>
      <c r="AC8" s="16"/>
      <c r="AD8" s="16"/>
    </row>
    <row r="9" spans="1:37" ht="16" thickBot="1" x14ac:dyDescent="0.4">
      <c r="A9" s="12">
        <v>44986</v>
      </c>
      <c r="B9" s="20">
        <v>28700</v>
      </c>
      <c r="C9" s="20">
        <v>49400</v>
      </c>
      <c r="D9" s="20">
        <v>32100</v>
      </c>
      <c r="E9" s="20">
        <v>48000</v>
      </c>
      <c r="F9" s="20">
        <v>67200</v>
      </c>
      <c r="G9" s="14">
        <f t="shared" si="1"/>
        <v>-1.0344827586206917E-2</v>
      </c>
      <c r="H9" s="14">
        <f t="shared" si="2"/>
        <v>4.2194092827004148E-2</v>
      </c>
      <c r="I9" s="14">
        <f t="shared" si="3"/>
        <v>-9.2592592592593004E-3</v>
      </c>
      <c r="J9" s="14">
        <f t="shared" si="4"/>
        <v>-1.0309278350515427E-2</v>
      </c>
      <c r="K9" s="14">
        <f t="shared" si="5"/>
        <v>2.9850746268655914E-3</v>
      </c>
      <c r="L9" s="1"/>
      <c r="M9" s="40" t="s">
        <v>17</v>
      </c>
      <c r="N9" s="41"/>
      <c r="O9" s="42">
        <f>SUM(O4:O8)</f>
        <v>1</v>
      </c>
      <c r="P9" s="43"/>
      <c r="Q9" s="43"/>
      <c r="R9" s="44">
        <f>SUM(R4:R8)</f>
        <v>6.0000000832326345E-3</v>
      </c>
      <c r="S9" s="47" t="s">
        <v>15</v>
      </c>
      <c r="T9" s="24">
        <f>_xlfn.COVARIANCE.S(G4:G455,K4:K455)</f>
        <v>2.932471774427577E-4</v>
      </c>
      <c r="U9" s="24">
        <f>_xlfn.COVARIANCE.S(K4:K455,H4:H455)</f>
        <v>2.5112444568893783E-4</v>
      </c>
      <c r="V9" s="24">
        <f>_xlfn.COVARIANCE.S(I4:I455,K4:K455)</f>
        <v>2.2364526749506008E-4</v>
      </c>
      <c r="W9" s="24">
        <f>_xlfn.COVARIANCE.S(K4:K455,J4:J455)</f>
        <v>9.2944112899018662E-5</v>
      </c>
      <c r="X9" s="48">
        <f>_xlfn.VAR.S(Final!$K$4:$K$455)</f>
        <v>9.23869982474531E-4</v>
      </c>
      <c r="Y9" s="15"/>
      <c r="Z9" s="16"/>
      <c r="AA9" s="16"/>
      <c r="AB9" s="16"/>
      <c r="AC9" s="16"/>
      <c r="AD9" s="16"/>
    </row>
    <row r="10" spans="1:37" ht="16" thickBot="1" x14ac:dyDescent="0.4">
      <c r="A10" s="12">
        <v>44985</v>
      </c>
      <c r="B10" s="20">
        <v>29000</v>
      </c>
      <c r="C10" s="20">
        <v>47400</v>
      </c>
      <c r="D10" s="20">
        <v>32400</v>
      </c>
      <c r="E10" s="20">
        <v>48500</v>
      </c>
      <c r="F10" s="20">
        <v>67000</v>
      </c>
      <c r="G10" s="14">
        <f t="shared" si="1"/>
        <v>1.3986013986013957E-2</v>
      </c>
      <c r="H10" s="14">
        <f t="shared" si="2"/>
        <v>-4.723618090452264E-2</v>
      </c>
      <c r="I10" s="14">
        <f t="shared" si="3"/>
        <v>2.208201892744488E-2</v>
      </c>
      <c r="J10" s="14">
        <f t="shared" si="4"/>
        <v>4.1407867494824835E-3</v>
      </c>
      <c r="K10" s="14">
        <f t="shared" si="5"/>
        <v>-5.9347181008901906E-3</v>
      </c>
      <c r="L10" s="1"/>
      <c r="M10" s="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37" ht="16" thickBot="1" x14ac:dyDescent="0.4">
      <c r="A11" s="12">
        <v>44984</v>
      </c>
      <c r="B11" s="20">
        <v>28600</v>
      </c>
      <c r="C11" s="20">
        <v>49750</v>
      </c>
      <c r="D11" s="20">
        <v>31700</v>
      </c>
      <c r="E11" s="20">
        <v>48300</v>
      </c>
      <c r="F11" s="20">
        <v>67400</v>
      </c>
      <c r="G11" s="14">
        <f t="shared" si="1"/>
        <v>3.5087719298245723E-3</v>
      </c>
      <c r="H11" s="14">
        <f t="shared" si="2"/>
        <v>7.0850202429149078E-3</v>
      </c>
      <c r="I11" s="14">
        <f t="shared" si="3"/>
        <v>-2.1604938271604923E-2</v>
      </c>
      <c r="J11" s="14">
        <f t="shared" si="4"/>
        <v>5.921052631578938E-2</v>
      </c>
      <c r="K11" s="14">
        <f t="shared" si="5"/>
        <v>-1.027900146842875E-2</v>
      </c>
      <c r="L11" s="1"/>
      <c r="M11" s="86" t="s">
        <v>27</v>
      </c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8"/>
      <c r="Z11" s="1"/>
      <c r="AA11" s="1"/>
    </row>
    <row r="12" spans="1:37" x14ac:dyDescent="0.35">
      <c r="A12" s="12">
        <v>44981</v>
      </c>
      <c r="B12" s="20">
        <v>28500</v>
      </c>
      <c r="C12" s="20">
        <v>49400</v>
      </c>
      <c r="D12" s="20">
        <v>32400</v>
      </c>
      <c r="E12" s="20">
        <v>45600</v>
      </c>
      <c r="F12" s="20">
        <v>68100</v>
      </c>
      <c r="G12" s="14">
        <f t="shared" si="1"/>
        <v>-1.041666666666663E-2</v>
      </c>
      <c r="H12" s="14">
        <f t="shared" si="2"/>
        <v>-2.0202020202020332E-3</v>
      </c>
      <c r="I12" s="14">
        <f t="shared" si="3"/>
        <v>-1.8181818181818188E-2</v>
      </c>
      <c r="J12" s="14">
        <f t="shared" si="4"/>
        <v>1.4460511679644128E-2</v>
      </c>
      <c r="K12" s="14">
        <f t="shared" si="5"/>
        <v>-5.839416058394109E-3</v>
      </c>
      <c r="L12" s="1"/>
      <c r="M12" s="2" t="s">
        <v>11</v>
      </c>
      <c r="N12" s="25">
        <v>8.0434977300965188E-2</v>
      </c>
      <c r="O12" s="21">
        <v>2.9048754950290724E-2</v>
      </c>
      <c r="P12" s="25">
        <v>-2.2331439818943741E-2</v>
      </c>
      <c r="Q12" s="25">
        <v>-7.371158913499383E-2</v>
      </c>
      <c r="R12" s="25">
        <v>-0.12509168537376322</v>
      </c>
      <c r="S12" s="25">
        <v>-0.17647180327295772</v>
      </c>
      <c r="T12" s="25">
        <v>-0.22785193989897798</v>
      </c>
      <c r="U12" s="25">
        <v>-0.27923208698814067</v>
      </c>
      <c r="V12" s="21">
        <v>-0.33061224549765728</v>
      </c>
      <c r="W12" s="25">
        <v>-0.38199240067042883</v>
      </c>
      <c r="X12" s="25">
        <v>-0.43337254773038675</v>
      </c>
      <c r="Y12" s="26">
        <v>-0.48475269738750187</v>
      </c>
    </row>
    <row r="13" spans="1:37" x14ac:dyDescent="0.35">
      <c r="A13" s="12">
        <v>44980</v>
      </c>
      <c r="B13" s="20">
        <v>28800</v>
      </c>
      <c r="C13" s="20">
        <v>49500</v>
      </c>
      <c r="D13" s="20">
        <v>33000</v>
      </c>
      <c r="E13" s="20">
        <v>44950</v>
      </c>
      <c r="F13" s="20">
        <v>68500</v>
      </c>
      <c r="G13" s="14">
        <f t="shared" si="1"/>
        <v>-1.3698630136986356E-2</v>
      </c>
      <c r="H13" s="14">
        <f t="shared" si="2"/>
        <v>-1.19760479041916E-2</v>
      </c>
      <c r="I13" s="14">
        <f t="shared" si="3"/>
        <v>-2.3668639053254448E-2</v>
      </c>
      <c r="J13" s="14">
        <f t="shared" si="4"/>
        <v>-1.2087912087912045E-2</v>
      </c>
      <c r="K13" s="14">
        <f t="shared" si="5"/>
        <v>3.1626506024096335E-2</v>
      </c>
      <c r="L13" s="1"/>
      <c r="M13" s="2" t="s">
        <v>12</v>
      </c>
      <c r="N13" s="25">
        <v>0.20450929435844128</v>
      </c>
      <c r="O13" s="21">
        <v>0.17576502634590155</v>
      </c>
      <c r="P13" s="25">
        <v>0.14700800127784636</v>
      </c>
      <c r="Q13" s="25">
        <v>0.11825097979398157</v>
      </c>
      <c r="R13" s="25">
        <v>8.9493917775065115E-2</v>
      </c>
      <c r="S13" s="25">
        <v>6.0736864110046709E-2</v>
      </c>
      <c r="T13" s="25">
        <v>3.1979843282994684E-2</v>
      </c>
      <c r="U13" s="25">
        <v>3.2228315953911537E-3</v>
      </c>
      <c r="V13" s="21">
        <v>-2.5534221955291796E-2</v>
      </c>
      <c r="W13" s="25">
        <v>-5.4291264113173497E-2</v>
      </c>
      <c r="X13" s="25">
        <v>-8.3048278613782264E-2</v>
      </c>
      <c r="Y13" s="26">
        <v>-0.11180530528865891</v>
      </c>
    </row>
    <row r="14" spans="1:37" x14ac:dyDescent="0.35">
      <c r="A14" s="12">
        <v>44979</v>
      </c>
      <c r="B14" s="20">
        <v>29200</v>
      </c>
      <c r="C14" s="20">
        <v>50100</v>
      </c>
      <c r="D14" s="20">
        <v>33800</v>
      </c>
      <c r="E14" s="20">
        <v>45500</v>
      </c>
      <c r="F14" s="20">
        <v>66400</v>
      </c>
      <c r="G14" s="14">
        <f t="shared" si="1"/>
        <v>-1.016949152542368E-2</v>
      </c>
      <c r="H14" s="14">
        <f t="shared" si="2"/>
        <v>-1.1834319526627168E-2</v>
      </c>
      <c r="I14" s="14">
        <f t="shared" si="3"/>
        <v>-2.5936599423631135E-2</v>
      </c>
      <c r="J14" s="14">
        <f t="shared" si="4"/>
        <v>-5.464480874316946E-3</v>
      </c>
      <c r="K14" s="14">
        <f t="shared" si="5"/>
        <v>2.6275115919629055E-2</v>
      </c>
      <c r="L14" s="1"/>
      <c r="M14" s="2" t="s">
        <v>13</v>
      </c>
      <c r="N14" s="25">
        <v>-0.15334560291327964</v>
      </c>
      <c r="O14" s="21">
        <v>-5.0873822014241794E-2</v>
      </c>
      <c r="P14" s="25">
        <v>5.1598221081837731E-2</v>
      </c>
      <c r="Q14" s="25">
        <v>0.15407027466962117</v>
      </c>
      <c r="R14" s="25">
        <v>0.25654234436824785</v>
      </c>
      <c r="S14" s="25">
        <v>0.35901441586400701</v>
      </c>
      <c r="T14" s="25">
        <v>0.46148647273818111</v>
      </c>
      <c r="U14" s="25">
        <v>0.56395852472258545</v>
      </c>
      <c r="V14" s="21">
        <v>0.66643057922150106</v>
      </c>
      <c r="W14" s="25">
        <v>0.76890263204969911</v>
      </c>
      <c r="X14" s="25">
        <v>0.87137468384316263</v>
      </c>
      <c r="Y14" s="26">
        <v>0.97384673206174965</v>
      </c>
    </row>
    <row r="15" spans="1:37" x14ac:dyDescent="0.35">
      <c r="A15" s="12">
        <v>44978</v>
      </c>
      <c r="B15" s="20">
        <v>29500</v>
      </c>
      <c r="C15" s="20">
        <v>50700</v>
      </c>
      <c r="D15" s="20">
        <v>34700</v>
      </c>
      <c r="E15" s="20">
        <v>45750</v>
      </c>
      <c r="F15" s="20">
        <v>64700</v>
      </c>
      <c r="G15" s="14">
        <f t="shared" si="1"/>
        <v>2.7874564459930307E-2</v>
      </c>
      <c r="H15" s="14">
        <f t="shared" si="2"/>
        <v>5.9523809523809312E-3</v>
      </c>
      <c r="I15" s="14">
        <f t="shared" si="3"/>
        <v>2.0588235294117574E-2</v>
      </c>
      <c r="J15" s="14">
        <f t="shared" si="4"/>
        <v>1.3289036544850585E-2</v>
      </c>
      <c r="K15" s="14">
        <f t="shared" si="5"/>
        <v>-3.7202380952380931E-2</v>
      </c>
      <c r="L15" s="1"/>
      <c r="M15" s="2" t="s">
        <v>14</v>
      </c>
      <c r="N15" s="25">
        <v>1.037000841629298</v>
      </c>
      <c r="O15" s="21">
        <v>0.89467702725903675</v>
      </c>
      <c r="P15" s="25">
        <v>0.75235805963870783</v>
      </c>
      <c r="Q15" s="25">
        <v>0.61003904930049591</v>
      </c>
      <c r="R15" s="25">
        <v>0.46772003391454214</v>
      </c>
      <c r="S15" s="25">
        <v>0.32540102188315251</v>
      </c>
      <c r="T15" s="25">
        <v>0.18308200822945017</v>
      </c>
      <c r="U15" s="25">
        <v>4.0762988908319461E-2</v>
      </c>
      <c r="V15" s="21">
        <v>-0.10155598660618956</v>
      </c>
      <c r="W15" s="25">
        <v>-0.24387497316651258</v>
      </c>
      <c r="X15" s="25">
        <v>-0.38619398672265048</v>
      </c>
      <c r="Y15" s="26">
        <v>-0.52851298525913915</v>
      </c>
    </row>
    <row r="16" spans="1:37" x14ac:dyDescent="0.35">
      <c r="A16" s="12">
        <v>44977</v>
      </c>
      <c r="B16" s="20">
        <v>28700</v>
      </c>
      <c r="C16" s="20">
        <v>50400</v>
      </c>
      <c r="D16" s="20">
        <v>34000</v>
      </c>
      <c r="E16" s="20">
        <v>45150</v>
      </c>
      <c r="F16" s="20">
        <v>67200</v>
      </c>
      <c r="G16" s="14">
        <f t="shared" si="1"/>
        <v>0</v>
      </c>
      <c r="H16" s="14">
        <f t="shared" si="2"/>
        <v>1.5105740181268867E-2</v>
      </c>
      <c r="I16" s="14">
        <f t="shared" si="3"/>
        <v>3.0303030303030276E-2</v>
      </c>
      <c r="J16" s="14">
        <f t="shared" si="4"/>
        <v>2.6136363636363624E-2</v>
      </c>
      <c r="K16" s="14">
        <f t="shared" si="5"/>
        <v>-1.1764705882352899E-2</v>
      </c>
      <c r="L16" s="1"/>
      <c r="M16" s="2" t="s">
        <v>15</v>
      </c>
      <c r="N16" s="25">
        <v>-0.16859951037542475</v>
      </c>
      <c r="O16" s="21">
        <v>-4.8616986540987249E-2</v>
      </c>
      <c r="P16" s="25">
        <v>7.1367157820551946E-2</v>
      </c>
      <c r="Q16" s="25">
        <v>0.19135128537089516</v>
      </c>
      <c r="R16" s="25">
        <v>0.31133538931590798</v>
      </c>
      <c r="S16" s="25">
        <v>0.4313195014157517</v>
      </c>
      <c r="T16" s="25">
        <v>0.55130361564835206</v>
      </c>
      <c r="U16" s="25">
        <v>0.67128774176184447</v>
      </c>
      <c r="V16" s="21">
        <v>0.7912718748376375</v>
      </c>
      <c r="W16" s="25">
        <v>0.911256005900416</v>
      </c>
      <c r="X16" s="25">
        <v>1.031240129223657</v>
      </c>
      <c r="Y16" s="26">
        <v>1.1512242558735504</v>
      </c>
    </row>
    <row r="17" spans="1:27" x14ac:dyDescent="0.35">
      <c r="A17" s="12">
        <v>44974</v>
      </c>
      <c r="B17" s="20">
        <v>28700</v>
      </c>
      <c r="C17" s="20">
        <v>49650</v>
      </c>
      <c r="D17" s="20">
        <v>33000</v>
      </c>
      <c r="E17" s="20">
        <v>44000</v>
      </c>
      <c r="F17" s="20">
        <v>68000</v>
      </c>
      <c r="G17" s="14">
        <f t="shared" si="1"/>
        <v>-3.4722222222222099E-3</v>
      </c>
      <c r="H17" s="14">
        <f t="shared" si="2"/>
        <v>-7.0000000000000062E-3</v>
      </c>
      <c r="I17" s="14">
        <f t="shared" si="3"/>
        <v>1.2269938650306678E-2</v>
      </c>
      <c r="J17" s="14">
        <f t="shared" si="4"/>
        <v>2.564102564102555E-2</v>
      </c>
      <c r="K17" s="14">
        <f t="shared" si="5"/>
        <v>0</v>
      </c>
      <c r="L17" s="1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53"/>
    </row>
    <row r="18" spans="1:27" x14ac:dyDescent="0.35">
      <c r="A18" s="12">
        <v>44973</v>
      </c>
      <c r="B18" s="20">
        <v>28800</v>
      </c>
      <c r="C18" s="20">
        <v>50000</v>
      </c>
      <c r="D18" s="20">
        <v>32600</v>
      </c>
      <c r="E18" s="20">
        <v>42900</v>
      </c>
      <c r="F18" s="20">
        <v>68000</v>
      </c>
      <c r="G18" s="14">
        <f t="shared" si="1"/>
        <v>-1.3698630136986356E-2</v>
      </c>
      <c r="H18" s="14">
        <f t="shared" si="2"/>
        <v>-9.9009900990099098E-3</v>
      </c>
      <c r="I18" s="14">
        <f t="shared" si="3"/>
        <v>-6.0975609756097615E-3</v>
      </c>
      <c r="J18" s="14">
        <f t="shared" si="4"/>
        <v>-5.7937427578215184E-3</v>
      </c>
      <c r="K18" s="14">
        <f t="shared" si="5"/>
        <v>7.4074074074073071E-3</v>
      </c>
      <c r="L18" s="1"/>
      <c r="M18" s="2" t="s">
        <v>19</v>
      </c>
      <c r="N18" s="35" cm="1">
        <f t="array" ref="N18">MMULT(MMULT(TRANSPOSE(N12:N16),$T$5:$X$9),N12:N16)</f>
        <v>3.343393191470616E-4</v>
      </c>
      <c r="O18" s="35" cm="1">
        <f t="array" ref="O18">MMULT(MMULT(TRANSPOSE(O12:O16),$T$5:$X$9),O12:O16)</f>
        <v>2.4637955615914328E-4</v>
      </c>
      <c r="P18" s="35" cm="1">
        <f t="array" ref="P18">MMULT(MMULT(TRANSPOSE(P12:P16),$T$5:$X$9),P12:P16)</f>
        <v>2.0771197519924391E-4</v>
      </c>
      <c r="Q18" s="35" cm="1">
        <f t="array" ref="Q18">MMULT(MMULT(TRANSPOSE(Q12:Q16),$T$5:$X$9),Q12:Q16)</f>
        <v>2.1833653572433514E-4</v>
      </c>
      <c r="R18" s="35" cm="1">
        <f t="array" ref="R18">MMULT(MMULT(TRANSPOSE(R12:R16),$T$5:$X$9),R12:R16)</f>
        <v>2.7825323577286668E-4</v>
      </c>
      <c r="S18" s="35" cm="1">
        <f t="array" ref="S18">MMULT(MMULT(TRANSPOSE(S12:S16),$T$5:$X$9),S12:S16)</f>
        <v>3.8746207978310155E-4</v>
      </c>
      <c r="T18" s="35" cm="1">
        <f t="array" ref="T18">MMULT(MMULT(TRANSPOSE(T12:T16),$T$5:$X$9),T12:T16)</f>
        <v>5.4596305966554378E-4</v>
      </c>
      <c r="U18" s="35" cm="1">
        <f t="array" ref="U18">MMULT(MMULT(TRANSPOSE(U12:U16),$T$5:$X$9),U12:U16)</f>
        <v>7.5375618716092972E-4</v>
      </c>
      <c r="V18" s="35" cm="1">
        <f t="array" ref="V18">MMULT(MMULT(TRANSPOSE(V12:V16),$T$5:$X$9),V12:V16)</f>
        <v>1.010841452094487E-3</v>
      </c>
      <c r="W18" s="35" cm="1">
        <f t="array" ref="W18">MMULT(MMULT(TRANSPOSE(W12:W16),$T$5:$X$9),W12:W16)</f>
        <v>1.3172188578578089E-3</v>
      </c>
      <c r="X18" s="35" cm="1">
        <f t="array" ref="X18">MMULT(MMULT(TRANSPOSE(X12:X16),$T$5:$X$9),X12:X16)</f>
        <v>1.6728884044508912E-3</v>
      </c>
      <c r="Y18" s="28" cm="1">
        <f t="array" ref="Y18">MMULT(MMULT(TRANSPOSE(Y12:Y16),$T$5:$X$9),Y12:Y16)</f>
        <v>2.0778500839180891E-3</v>
      </c>
    </row>
    <row r="19" spans="1:27" x14ac:dyDescent="0.35">
      <c r="A19" s="12">
        <v>44972</v>
      </c>
      <c r="B19" s="20">
        <v>29200</v>
      </c>
      <c r="C19" s="20">
        <v>50500</v>
      </c>
      <c r="D19" s="20">
        <v>32800</v>
      </c>
      <c r="E19" s="20">
        <v>43150</v>
      </c>
      <c r="F19" s="20">
        <v>67500</v>
      </c>
      <c r="G19" s="14">
        <f t="shared" si="1"/>
        <v>2.4561403508772006E-2</v>
      </c>
      <c r="H19" s="14">
        <f t="shared" si="2"/>
        <v>5.9760956175298752E-3</v>
      </c>
      <c r="I19" s="14">
        <f t="shared" si="3"/>
        <v>-6.0606060606060996E-3</v>
      </c>
      <c r="J19" s="14">
        <f t="shared" si="4"/>
        <v>-6.9044879171461515E-3</v>
      </c>
      <c r="K19" s="14">
        <f t="shared" si="5"/>
        <v>-8.8105726872246271E-3</v>
      </c>
      <c r="L19" s="1"/>
      <c r="M19" s="2" t="s">
        <v>3</v>
      </c>
      <c r="N19" s="54">
        <f>SQRT(N18)</f>
        <v>1.8284947884723696E-2</v>
      </c>
      <c r="O19" s="54">
        <f t="shared" ref="O19:Y19" si="7">SQRT(O18)</f>
        <v>1.5696482286141161E-2</v>
      </c>
      <c r="P19" s="54">
        <f t="shared" si="7"/>
        <v>1.441221617931274E-2</v>
      </c>
      <c r="Q19" s="54">
        <f t="shared" si="7"/>
        <v>1.4776215202965039E-2</v>
      </c>
      <c r="R19" s="54">
        <f t="shared" si="7"/>
        <v>1.6680924308109149E-2</v>
      </c>
      <c r="S19" s="54">
        <f t="shared" si="7"/>
        <v>1.9684056486992247E-2</v>
      </c>
      <c r="T19" s="54">
        <f t="shared" si="7"/>
        <v>2.3365852427539292E-2</v>
      </c>
      <c r="U19" s="54">
        <f t="shared" si="7"/>
        <v>2.7454620506591049E-2</v>
      </c>
      <c r="V19" s="54">
        <f t="shared" si="7"/>
        <v>3.1793732905943693E-2</v>
      </c>
      <c r="W19" s="54">
        <f t="shared" si="7"/>
        <v>3.629350985862085E-2</v>
      </c>
      <c r="X19" s="54">
        <f t="shared" si="7"/>
        <v>4.0900958478388878E-2</v>
      </c>
      <c r="Y19" s="55">
        <f t="shared" si="7"/>
        <v>4.5583440895988633E-2</v>
      </c>
    </row>
    <row r="20" spans="1:27" x14ac:dyDescent="0.35">
      <c r="A20" s="12">
        <v>44971</v>
      </c>
      <c r="B20" s="20">
        <v>28500</v>
      </c>
      <c r="C20" s="20">
        <v>50200</v>
      </c>
      <c r="D20" s="20">
        <v>33000</v>
      </c>
      <c r="E20" s="20">
        <v>43450</v>
      </c>
      <c r="F20" s="20">
        <v>68100</v>
      </c>
      <c r="G20" s="14">
        <f t="shared" si="1"/>
        <v>3.5211267605634866E-3</v>
      </c>
      <c r="H20" s="14">
        <f t="shared" si="2"/>
        <v>-1.3752455795677854E-2</v>
      </c>
      <c r="I20" s="14">
        <f t="shared" si="3"/>
        <v>-6.0240963855421326E-3</v>
      </c>
      <c r="J20" s="14">
        <f t="shared" si="4"/>
        <v>-6.857142857142895E-3</v>
      </c>
      <c r="K20" s="14">
        <f t="shared" si="5"/>
        <v>-2.0143884892086295E-2</v>
      </c>
      <c r="L20" s="1"/>
      <c r="M20" s="2" t="s">
        <v>32</v>
      </c>
      <c r="N20" s="56">
        <v>5.0000000000000001E-4</v>
      </c>
      <c r="O20" s="56">
        <v>1E-3</v>
      </c>
      <c r="P20" s="56">
        <v>1.5E-3</v>
      </c>
      <c r="Q20" s="56">
        <v>2E-3</v>
      </c>
      <c r="R20" s="56">
        <v>2.5000000000000001E-3</v>
      </c>
      <c r="S20" s="56">
        <v>3.0000000000000001E-3</v>
      </c>
      <c r="T20" s="56">
        <v>3.5000000000000001E-3</v>
      </c>
      <c r="U20" s="56">
        <v>4.0000000000000001E-3</v>
      </c>
      <c r="V20" s="56">
        <v>4.4999999999999997E-3</v>
      </c>
      <c r="W20" s="56">
        <v>5.0000000000000001E-3</v>
      </c>
      <c r="X20" s="56">
        <v>5.4999999999999997E-3</v>
      </c>
      <c r="Y20" s="57">
        <v>6.0000000000000001E-3</v>
      </c>
    </row>
    <row r="21" spans="1:27" ht="16" thickBot="1" x14ac:dyDescent="0.4">
      <c r="A21" s="12">
        <v>44970</v>
      </c>
      <c r="B21" s="20">
        <v>28400</v>
      </c>
      <c r="C21" s="20">
        <v>50900</v>
      </c>
      <c r="D21" s="20">
        <v>33200</v>
      </c>
      <c r="E21" s="20">
        <v>43750</v>
      </c>
      <c r="F21" s="20">
        <v>69500</v>
      </c>
      <c r="G21" s="14">
        <f t="shared" si="1"/>
        <v>0</v>
      </c>
      <c r="H21" s="14">
        <f t="shared" si="2"/>
        <v>-1.9267822736030782E-2</v>
      </c>
      <c r="I21" s="14">
        <f t="shared" si="3"/>
        <v>0</v>
      </c>
      <c r="J21" s="14">
        <f t="shared" si="4"/>
        <v>-1.4639639639639657E-2</v>
      </c>
      <c r="K21" s="14">
        <f t="shared" si="5"/>
        <v>-1.836158192090398E-2</v>
      </c>
      <c r="L21" s="1"/>
      <c r="M21" s="58" t="s">
        <v>6</v>
      </c>
      <c r="N21" s="59">
        <f t="shared" ref="N21:Y21" si="8">(N20-$V$28)/N19</f>
        <v>2.0510919596535573E-2</v>
      </c>
      <c r="O21" s="59">
        <f t="shared" si="8"/>
        <v>5.5747592354690061E-2</v>
      </c>
      <c r="P21" s="59">
        <f t="shared" si="8"/>
        <v>9.5408025995623189E-2</v>
      </c>
      <c r="Q21" s="59">
        <f t="shared" si="8"/>
        <v>0.12689589790991673</v>
      </c>
      <c r="R21" s="59">
        <f t="shared" si="8"/>
        <v>0.14238066500522548</v>
      </c>
      <c r="S21" s="60">
        <f t="shared" si="8"/>
        <v>0.14605938048340369</v>
      </c>
      <c r="T21" s="59">
        <f t="shared" si="8"/>
        <v>0.1444433112961265</v>
      </c>
      <c r="U21" s="59">
        <f t="shared" si="8"/>
        <v>0.14114349513445751</v>
      </c>
      <c r="V21" s="59">
        <f t="shared" si="8"/>
        <v>0.13760702805276812</v>
      </c>
      <c r="W21" s="59">
        <f t="shared" si="8"/>
        <v>0.13432266856748867</v>
      </c>
      <c r="X21" s="59">
        <f t="shared" si="8"/>
        <v>0.13141601800677746</v>
      </c>
      <c r="Y21" s="31">
        <f t="shared" si="8"/>
        <v>0.12888542375061068</v>
      </c>
    </row>
    <row r="22" spans="1:27" x14ac:dyDescent="0.35">
      <c r="A22" s="12">
        <v>44967</v>
      </c>
      <c r="B22" s="20">
        <v>28400</v>
      </c>
      <c r="C22" s="20">
        <v>51900</v>
      </c>
      <c r="D22" s="20">
        <v>33200</v>
      </c>
      <c r="E22" s="20">
        <v>44400</v>
      </c>
      <c r="F22" s="20">
        <v>70800</v>
      </c>
      <c r="G22" s="14">
        <f t="shared" si="1"/>
        <v>-1.388888888888884E-2</v>
      </c>
      <c r="H22" s="14">
        <f t="shared" si="2"/>
        <v>4.2168674698795261E-2</v>
      </c>
      <c r="I22" s="14">
        <f t="shared" si="3"/>
        <v>6.0606060606060996E-3</v>
      </c>
      <c r="J22" s="14">
        <f t="shared" si="4"/>
        <v>3.6172695449241621E-2</v>
      </c>
      <c r="K22" s="14">
        <f t="shared" si="5"/>
        <v>4.2553191489360653E-3</v>
      </c>
      <c r="L22" s="1"/>
      <c r="M22" s="1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"/>
      <c r="AA22" s="1"/>
    </row>
    <row r="23" spans="1:27" ht="16" thickBot="1" x14ac:dyDescent="0.4">
      <c r="A23" s="12">
        <v>44966</v>
      </c>
      <c r="B23" s="20">
        <v>28800</v>
      </c>
      <c r="C23" s="20">
        <v>49800</v>
      </c>
      <c r="D23" s="20">
        <v>33000</v>
      </c>
      <c r="E23" s="20">
        <v>42850</v>
      </c>
      <c r="F23" s="20">
        <v>70500</v>
      </c>
      <c r="G23" s="14">
        <f t="shared" si="1"/>
        <v>3.4843205574912606E-3</v>
      </c>
      <c r="H23" s="14">
        <f t="shared" si="2"/>
        <v>-4.0000000000000036E-3</v>
      </c>
      <c r="I23" s="14">
        <f t="shared" si="3"/>
        <v>-9.009009009009028E-3</v>
      </c>
      <c r="J23" s="14">
        <f t="shared" si="4"/>
        <v>4.6893317702227932E-3</v>
      </c>
      <c r="K23" s="14">
        <f t="shared" si="5"/>
        <v>2.0260492040520939E-2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5">
      <c r="A24" s="12">
        <v>44965</v>
      </c>
      <c r="B24" s="20">
        <v>28700</v>
      </c>
      <c r="C24" s="20">
        <v>50000</v>
      </c>
      <c r="D24" s="20">
        <v>33300</v>
      </c>
      <c r="E24" s="20">
        <v>42650</v>
      </c>
      <c r="F24" s="20">
        <v>69100</v>
      </c>
      <c r="G24" s="14">
        <f t="shared" si="1"/>
        <v>2.4999999999999911E-2</v>
      </c>
      <c r="H24" s="14">
        <f t="shared" si="2"/>
        <v>2.0040080160319551E-3</v>
      </c>
      <c r="I24" s="14">
        <f t="shared" si="3"/>
        <v>5.3797468354430444E-2</v>
      </c>
      <c r="J24" s="14">
        <f t="shared" si="4"/>
        <v>1.4268727705113005E-2</v>
      </c>
      <c r="K24" s="14">
        <f t="shared" si="5"/>
        <v>-7.1839080459770166E-3</v>
      </c>
      <c r="L24" s="1"/>
      <c r="M24" s="89" t="s">
        <v>31</v>
      </c>
      <c r="N24" s="90"/>
      <c r="O24" s="90"/>
      <c r="P24" s="91" t="s">
        <v>7</v>
      </c>
      <c r="Q24" s="92"/>
      <c r="R24" s="1"/>
      <c r="S24" s="93" t="s">
        <v>28</v>
      </c>
      <c r="T24" s="94"/>
      <c r="U24" s="94"/>
      <c r="V24" s="95"/>
      <c r="W24" s="7"/>
      <c r="X24" s="1"/>
      <c r="AA24" s="1"/>
    </row>
    <row r="25" spans="1:27" x14ac:dyDescent="0.35">
      <c r="A25" s="12">
        <v>44964</v>
      </c>
      <c r="B25" s="20">
        <v>28000</v>
      </c>
      <c r="C25" s="20">
        <v>49900</v>
      </c>
      <c r="D25" s="20">
        <v>31600</v>
      </c>
      <c r="E25" s="20">
        <v>42050</v>
      </c>
      <c r="F25" s="20">
        <v>69600</v>
      </c>
      <c r="G25" s="14">
        <f t="shared" si="1"/>
        <v>-2.4390243902439046E-2</v>
      </c>
      <c r="H25" s="14">
        <f t="shared" si="2"/>
        <v>-2.0000000000000018E-3</v>
      </c>
      <c r="I25" s="14">
        <f t="shared" si="3"/>
        <v>-1.5576323987538943E-2</v>
      </c>
      <c r="J25" s="14">
        <f t="shared" si="4"/>
        <v>-5.9101654846335228E-3</v>
      </c>
      <c r="K25" s="14">
        <f t="shared" si="5"/>
        <v>1.1627906976744207E-2</v>
      </c>
      <c r="L25" s="1"/>
      <c r="M25" s="2" t="s">
        <v>19</v>
      </c>
      <c r="N25" s="19">
        <f t="array" ref="N25">MMULT(MMULT(TRANSPOSE(Q25:Q29),$T$5:$X$9),Q25:Q29)</f>
        <v>3.8746207978310155E-4</v>
      </c>
      <c r="O25" s="1"/>
      <c r="P25" s="2" t="s">
        <v>11</v>
      </c>
      <c r="Q25" s="26">
        <v>-0.17647180327295772</v>
      </c>
      <c r="R25" s="1"/>
      <c r="S25" s="61" t="s">
        <v>8</v>
      </c>
      <c r="T25" s="62"/>
      <c r="U25" s="62"/>
      <c r="V25" s="63">
        <v>0.5</v>
      </c>
      <c r="W25" s="8"/>
      <c r="X25" s="1"/>
      <c r="AA25" s="1"/>
    </row>
    <row r="26" spans="1:27" x14ac:dyDescent="0.35">
      <c r="A26" s="12">
        <v>44963</v>
      </c>
      <c r="B26" s="20">
        <v>28700</v>
      </c>
      <c r="C26" s="20">
        <v>50000</v>
      </c>
      <c r="D26" s="20">
        <v>32100</v>
      </c>
      <c r="E26" s="20">
        <v>42300</v>
      </c>
      <c r="F26" s="20">
        <v>68800</v>
      </c>
      <c r="G26" s="14">
        <f t="shared" si="1"/>
        <v>1.4134275618374659E-2</v>
      </c>
      <c r="H26" s="14">
        <f t="shared" si="2"/>
        <v>1.0101010101010166E-2</v>
      </c>
      <c r="I26" s="14">
        <f t="shared" si="3"/>
        <v>-3.1055900621117516E-3</v>
      </c>
      <c r="J26" s="14">
        <f t="shared" si="4"/>
        <v>0</v>
      </c>
      <c r="K26" s="14">
        <f t="shared" si="5"/>
        <v>3.6144578313253017E-2</v>
      </c>
      <c r="L26" s="1"/>
      <c r="M26" s="2" t="s">
        <v>3</v>
      </c>
      <c r="N26" s="19">
        <f>SQRT(N25)</f>
        <v>1.9684056486992247E-2</v>
      </c>
      <c r="O26" s="1"/>
      <c r="P26" s="2" t="s">
        <v>12</v>
      </c>
      <c r="Q26" s="25">
        <v>6.0736864110046709E-2</v>
      </c>
      <c r="R26" s="3"/>
      <c r="S26" s="61" t="s">
        <v>24</v>
      </c>
      <c r="T26" s="62"/>
      <c r="U26" s="62"/>
      <c r="V26" s="28">
        <f>V25*V28+(1-V25)*$N$27</f>
        <v>1.5624794590366415E-3</v>
      </c>
      <c r="W26" s="8"/>
      <c r="X26" s="1"/>
    </row>
    <row r="27" spans="1:27" x14ac:dyDescent="0.35">
      <c r="A27" s="12">
        <v>44960</v>
      </c>
      <c r="B27" s="20">
        <v>28300</v>
      </c>
      <c r="C27" s="20">
        <v>49500</v>
      </c>
      <c r="D27" s="20">
        <v>32200</v>
      </c>
      <c r="E27" s="20">
        <v>42300</v>
      </c>
      <c r="F27" s="20">
        <v>66400</v>
      </c>
      <c r="G27" s="14">
        <f t="shared" si="1"/>
        <v>1.4336917562723928E-2</v>
      </c>
      <c r="H27" s="14">
        <f t="shared" si="2"/>
        <v>-2.0161290322581182E-3</v>
      </c>
      <c r="I27" s="14">
        <f t="shared" si="3"/>
        <v>0</v>
      </c>
      <c r="J27" s="14">
        <f t="shared" si="4"/>
        <v>-1.1806375442738881E-3</v>
      </c>
      <c r="K27" s="14">
        <f t="shared" si="5"/>
        <v>-1.5037593984962294E-3</v>
      </c>
      <c r="L27" s="1"/>
      <c r="M27" s="2" t="s">
        <v>32</v>
      </c>
      <c r="N27" s="19">
        <f>SUMPRODUCT(Q25:Q29,N4:N8)</f>
        <v>3.000000013963694E-3</v>
      </c>
      <c r="O27" s="1"/>
      <c r="P27" s="2" t="s">
        <v>13</v>
      </c>
      <c r="Q27" s="25">
        <v>0.35901441586400701</v>
      </c>
      <c r="R27" s="3"/>
      <c r="S27" s="61" t="s">
        <v>25</v>
      </c>
      <c r="T27" s="62"/>
      <c r="U27" s="62"/>
      <c r="V27" s="28">
        <f>(1-V25)*$N$26</f>
        <v>9.8420282434961235E-3</v>
      </c>
      <c r="W27" s="8"/>
      <c r="X27" s="1"/>
    </row>
    <row r="28" spans="1:27" x14ac:dyDescent="0.35">
      <c r="A28" s="12">
        <v>44959</v>
      </c>
      <c r="B28" s="20">
        <v>27900</v>
      </c>
      <c r="C28" s="20">
        <v>49600</v>
      </c>
      <c r="D28" s="20">
        <v>32200</v>
      </c>
      <c r="E28" s="20">
        <v>42350</v>
      </c>
      <c r="F28" s="20">
        <v>66500</v>
      </c>
      <c r="G28" s="14">
        <f t="shared" si="1"/>
        <v>-1.4134275618374548E-2</v>
      </c>
      <c r="H28" s="14">
        <f t="shared" si="2"/>
        <v>2.0202020202020332E-3</v>
      </c>
      <c r="I28" s="14">
        <f t="shared" si="3"/>
        <v>-2.1276595744680882E-2</v>
      </c>
      <c r="J28" s="14">
        <f t="shared" si="4"/>
        <v>-1.0514018691588745E-2</v>
      </c>
      <c r="K28" s="14">
        <f t="shared" si="5"/>
        <v>1.3719512195121908E-2</v>
      </c>
      <c r="L28" s="1"/>
      <c r="M28" s="2" t="s">
        <v>6</v>
      </c>
      <c r="N28" s="32">
        <f>(N27-V28)/N26</f>
        <v>0.14605938119279477</v>
      </c>
      <c r="O28" s="1"/>
      <c r="P28" s="2" t="s">
        <v>14</v>
      </c>
      <c r="Q28" s="25">
        <v>0.32540102188315251</v>
      </c>
      <c r="R28" s="3"/>
      <c r="S28" s="96" t="s">
        <v>18</v>
      </c>
      <c r="T28" s="97"/>
      <c r="U28" s="97"/>
      <c r="V28" s="64">
        <f>V29/365</f>
        <v>1.2495890410958903E-4</v>
      </c>
      <c r="W28" s="8"/>
      <c r="X28" s="1"/>
    </row>
    <row r="29" spans="1:27" ht="16" thickBot="1" x14ac:dyDescent="0.4">
      <c r="A29" s="12">
        <v>44958</v>
      </c>
      <c r="B29" s="20">
        <v>28300</v>
      </c>
      <c r="C29" s="20">
        <v>49500</v>
      </c>
      <c r="D29" s="20">
        <v>32900</v>
      </c>
      <c r="E29" s="20">
        <v>42800</v>
      </c>
      <c r="F29" s="20">
        <v>65600</v>
      </c>
      <c r="G29" s="14">
        <f t="shared" si="1"/>
        <v>8.0152671755725269E-2</v>
      </c>
      <c r="H29" s="14">
        <f t="shared" si="2"/>
        <v>5.3191489361702038E-2</v>
      </c>
      <c r="I29" s="14">
        <f t="shared" si="3"/>
        <v>2.4922118380062308E-2</v>
      </c>
      <c r="J29" s="14">
        <f t="shared" si="4"/>
        <v>2.3419203747072626E-3</v>
      </c>
      <c r="K29" s="14">
        <f t="shared" si="5"/>
        <v>2.1806853582554409E-2</v>
      </c>
      <c r="L29" s="1"/>
      <c r="M29" s="3"/>
      <c r="N29" s="1"/>
      <c r="O29" s="1"/>
      <c r="P29" s="2" t="s">
        <v>15</v>
      </c>
      <c r="Q29" s="25">
        <v>0.4313195014157517</v>
      </c>
      <c r="R29" s="3"/>
      <c r="S29" s="98" t="s">
        <v>34</v>
      </c>
      <c r="T29" s="99"/>
      <c r="U29" s="99"/>
      <c r="V29" s="65">
        <v>4.5609999999999998E-2</v>
      </c>
      <c r="W29" s="8"/>
      <c r="X29" s="1"/>
    </row>
    <row r="30" spans="1:27" ht="16" thickBot="1" x14ac:dyDescent="0.4">
      <c r="A30" s="12">
        <v>44957</v>
      </c>
      <c r="B30" s="20">
        <v>26200</v>
      </c>
      <c r="C30" s="20">
        <v>47000</v>
      </c>
      <c r="D30" s="20">
        <v>32100</v>
      </c>
      <c r="E30" s="20">
        <v>42700</v>
      </c>
      <c r="F30" s="20">
        <v>64200</v>
      </c>
      <c r="G30" s="14">
        <f t="shared" si="1"/>
        <v>-5.0724637681159424E-2</v>
      </c>
      <c r="H30" s="14">
        <f t="shared" si="2"/>
        <v>-8.4388185654008518E-3</v>
      </c>
      <c r="I30" s="14">
        <f t="shared" si="3"/>
        <v>-2.1341463414634165E-2</v>
      </c>
      <c r="J30" s="14">
        <f t="shared" si="4"/>
        <v>-1.6129032258064502E-2</v>
      </c>
      <c r="K30" s="14">
        <f t="shared" si="5"/>
        <v>-4.8888888888888871E-2</v>
      </c>
      <c r="L30" s="1"/>
      <c r="M30" s="5"/>
      <c r="N30" s="6"/>
      <c r="O30" s="6"/>
      <c r="P30" s="9" t="s">
        <v>4</v>
      </c>
      <c r="Q30" s="27">
        <f>SUM(Q25:Q29)</f>
        <v>1.0000000000000002</v>
      </c>
      <c r="R30" s="1"/>
      <c r="W30" s="1"/>
      <c r="X30" s="1"/>
    </row>
    <row r="31" spans="1:27" ht="16" thickBot="1" x14ac:dyDescent="0.4">
      <c r="A31" s="12">
        <v>44956</v>
      </c>
      <c r="B31" s="20">
        <v>27600</v>
      </c>
      <c r="C31" s="20">
        <v>47400</v>
      </c>
      <c r="D31" s="20">
        <v>32800</v>
      </c>
      <c r="E31" s="20">
        <v>43400</v>
      </c>
      <c r="F31" s="20">
        <v>67500</v>
      </c>
      <c r="G31" s="14">
        <f t="shared" si="1"/>
        <v>-7.194244604316502E-3</v>
      </c>
      <c r="H31" s="14">
        <f t="shared" si="2"/>
        <v>-1.2499999999999956E-2</v>
      </c>
      <c r="I31" s="14">
        <f t="shared" si="3"/>
        <v>0</v>
      </c>
      <c r="J31" s="14">
        <f t="shared" si="4"/>
        <v>-1.3636363636363669E-2</v>
      </c>
      <c r="K31" s="14">
        <f t="shared" si="5"/>
        <v>-1.8895348837209336E-2</v>
      </c>
      <c r="L31" s="1"/>
      <c r="M31" s="1"/>
      <c r="N31" s="1"/>
      <c r="O31" s="1"/>
      <c r="P31" s="1"/>
      <c r="Q31" s="1"/>
      <c r="R31" s="1"/>
      <c r="W31" s="1"/>
      <c r="X31" s="1"/>
    </row>
    <row r="32" spans="1:27" x14ac:dyDescent="0.35">
      <c r="A32" s="12">
        <v>44953</v>
      </c>
      <c r="B32" s="20">
        <v>27800</v>
      </c>
      <c r="C32" s="20">
        <v>48000</v>
      </c>
      <c r="D32" s="20">
        <v>32800</v>
      </c>
      <c r="E32" s="20">
        <v>44000</v>
      </c>
      <c r="F32" s="20">
        <v>68800</v>
      </c>
      <c r="G32" s="14">
        <f t="shared" si="1"/>
        <v>-1.4184397163120588E-2</v>
      </c>
      <c r="H32" s="14">
        <f t="shared" si="2"/>
        <v>0</v>
      </c>
      <c r="I32" s="14">
        <f t="shared" si="3"/>
        <v>-3.0395136778115228E-3</v>
      </c>
      <c r="J32" s="14">
        <f t="shared" si="4"/>
        <v>1.1494252873563315E-2</v>
      </c>
      <c r="K32" s="14">
        <f t="shared" si="5"/>
        <v>-2.5495750708215303E-2</v>
      </c>
      <c r="L32" s="1"/>
      <c r="M32" s="83" t="s">
        <v>29</v>
      </c>
      <c r="N32" s="84"/>
      <c r="O32" s="85"/>
      <c r="P32" s="1"/>
      <c r="Q32" s="1"/>
      <c r="R32" s="1"/>
      <c r="W32" s="1"/>
      <c r="X32" s="1"/>
      <c r="Y32" s="1"/>
      <c r="Z32" s="1"/>
      <c r="AA32" s="1"/>
    </row>
    <row r="33" spans="1:27" x14ac:dyDescent="0.35">
      <c r="A33" s="12">
        <v>44945</v>
      </c>
      <c r="B33" s="20">
        <v>28200</v>
      </c>
      <c r="C33" s="20">
        <v>48000</v>
      </c>
      <c r="D33" s="20">
        <v>32900</v>
      </c>
      <c r="E33" s="20">
        <v>43500</v>
      </c>
      <c r="F33" s="20">
        <v>70600</v>
      </c>
      <c r="G33" s="14">
        <f t="shared" si="1"/>
        <v>3.558718861210064E-3</v>
      </c>
      <c r="H33" s="14">
        <f t="shared" si="2"/>
        <v>1.0526315789473717E-2</v>
      </c>
      <c r="I33" s="14">
        <f t="shared" si="3"/>
        <v>6.1162079510703737E-3</v>
      </c>
      <c r="J33" s="14">
        <f t="shared" si="4"/>
        <v>1.6355140186915973E-2</v>
      </c>
      <c r="K33" s="14">
        <f t="shared" si="5"/>
        <v>2.3188405797101463E-2</v>
      </c>
      <c r="L33" s="1"/>
      <c r="M33" s="33" t="s">
        <v>30</v>
      </c>
      <c r="N33" s="15" t="s">
        <v>3</v>
      </c>
      <c r="O33" s="34" t="s">
        <v>32</v>
      </c>
      <c r="P33" s="1"/>
      <c r="Q33" s="1"/>
      <c r="R33" s="1"/>
      <c r="W33" s="1"/>
      <c r="X33" s="1"/>
      <c r="Y33" s="1"/>
      <c r="Z33" s="1"/>
      <c r="AA33" s="1"/>
    </row>
    <row r="34" spans="1:27" x14ac:dyDescent="0.35">
      <c r="A34" s="12">
        <v>44944</v>
      </c>
      <c r="B34" s="20">
        <v>28100</v>
      </c>
      <c r="C34" s="20">
        <v>47500</v>
      </c>
      <c r="D34" s="20">
        <v>32700</v>
      </c>
      <c r="E34" s="20">
        <v>42800</v>
      </c>
      <c r="F34" s="20">
        <v>69000</v>
      </c>
      <c r="G34" s="14">
        <f t="shared" si="1"/>
        <v>4.0740740740740744E-2</v>
      </c>
      <c r="H34" s="14">
        <f t="shared" si="2"/>
        <v>-3.1479538300105414E-3</v>
      </c>
      <c r="I34" s="14">
        <f t="shared" si="3"/>
        <v>-1.5060240963855387E-2</v>
      </c>
      <c r="J34" s="14">
        <f t="shared" si="4"/>
        <v>-1.1547344110854452E-2</v>
      </c>
      <c r="K34" s="14">
        <f t="shared" si="5"/>
        <v>-8.6206896551723755E-3</v>
      </c>
      <c r="L34" s="1"/>
      <c r="M34" s="3"/>
      <c r="N34" s="67">
        <f>V27</f>
        <v>9.8420282434961235E-3</v>
      </c>
      <c r="O34" s="66">
        <f>V26</f>
        <v>1.5624794590366415E-3</v>
      </c>
      <c r="P34" s="1"/>
      <c r="Q34" s="1"/>
      <c r="R34" s="1"/>
      <c r="W34" s="1"/>
      <c r="X34" s="1"/>
      <c r="Y34" s="1"/>
      <c r="Z34" s="1"/>
      <c r="AA34" s="1"/>
    </row>
    <row r="35" spans="1:27" x14ac:dyDescent="0.35">
      <c r="A35" s="12">
        <v>44943</v>
      </c>
      <c r="B35" s="20">
        <v>27000</v>
      </c>
      <c r="C35" s="20">
        <v>47650</v>
      </c>
      <c r="D35" s="20">
        <v>33200</v>
      </c>
      <c r="E35" s="20">
        <v>43300</v>
      </c>
      <c r="F35" s="20">
        <v>69600</v>
      </c>
      <c r="G35" s="14">
        <f t="shared" si="1"/>
        <v>-4.2553191489361653E-2</v>
      </c>
      <c r="H35" s="14">
        <f t="shared" si="2"/>
        <v>-9.3555093555093283E-3</v>
      </c>
      <c r="I35" s="14">
        <f t="shared" si="3"/>
        <v>-1.7751479289940808E-2</v>
      </c>
      <c r="J35" s="14">
        <f t="shared" si="4"/>
        <v>-1.4789533560864654E-2</v>
      </c>
      <c r="K35" s="14">
        <f t="shared" si="5"/>
        <v>-3.0640668523676862E-2</v>
      </c>
      <c r="L35" s="1"/>
      <c r="M35" s="10">
        <v>1</v>
      </c>
      <c r="N35" s="68">
        <f t="dataTable" ref="N35:O55" dt2D="0" dtr="0" r1="V25"/>
        <v>0</v>
      </c>
      <c r="O35" s="4">
        <v>1.2495890410958903E-4</v>
      </c>
      <c r="P35" s="1"/>
      <c r="Q35" s="1"/>
      <c r="R35" s="1"/>
      <c r="W35" s="1"/>
      <c r="X35" s="1"/>
      <c r="Y35" s="1"/>
      <c r="Z35" s="1"/>
      <c r="AA35" s="1"/>
    </row>
    <row r="36" spans="1:27" x14ac:dyDescent="0.35">
      <c r="A36" s="12">
        <v>44942</v>
      </c>
      <c r="B36" s="20">
        <v>28200</v>
      </c>
      <c r="C36" s="20">
        <v>48100</v>
      </c>
      <c r="D36" s="20">
        <v>33800</v>
      </c>
      <c r="E36" s="20">
        <v>43950</v>
      </c>
      <c r="F36" s="20">
        <v>71800</v>
      </c>
      <c r="G36" s="14">
        <f t="shared" si="1"/>
        <v>0</v>
      </c>
      <c r="H36" s="14">
        <f t="shared" si="2"/>
        <v>8.3857442348007627E-3</v>
      </c>
      <c r="I36" s="14">
        <f t="shared" si="3"/>
        <v>1.501501501501501E-2</v>
      </c>
      <c r="J36" s="14">
        <f t="shared" si="4"/>
        <v>2.2805017103761926E-3</v>
      </c>
      <c r="K36" s="14">
        <f t="shared" si="5"/>
        <v>2.1337126600284417E-2</v>
      </c>
      <c r="L36" s="1"/>
      <c r="M36" s="10">
        <v>0.9</v>
      </c>
      <c r="N36" s="68">
        <v>1.9684056486992244E-3</v>
      </c>
      <c r="O36" s="4">
        <v>4.1246301509499943E-4</v>
      </c>
      <c r="P36" s="1"/>
      <c r="Q36" s="1"/>
      <c r="R36" s="1"/>
      <c r="W36" s="1"/>
      <c r="X36" s="1"/>
      <c r="Y36" s="1"/>
      <c r="Z36" s="1"/>
      <c r="AA36" s="1"/>
    </row>
    <row r="37" spans="1:27" x14ac:dyDescent="0.35">
      <c r="A37" s="12">
        <v>44939</v>
      </c>
      <c r="B37" s="20">
        <v>28200</v>
      </c>
      <c r="C37" s="20">
        <v>47700</v>
      </c>
      <c r="D37" s="20">
        <v>33300</v>
      </c>
      <c r="E37" s="20">
        <v>43850</v>
      </c>
      <c r="F37" s="20">
        <v>70300</v>
      </c>
      <c r="G37" s="14">
        <f t="shared" si="1"/>
        <v>-7.0422535211267512E-3</v>
      </c>
      <c r="H37" s="14">
        <f t="shared" si="2"/>
        <v>6.3291139240506666E-3</v>
      </c>
      <c r="I37" s="14">
        <f t="shared" si="3"/>
        <v>6.0422960725075026E-3</v>
      </c>
      <c r="J37" s="14">
        <f t="shared" si="4"/>
        <v>1.2702078521940052E-2</v>
      </c>
      <c r="K37" s="14">
        <f t="shared" si="5"/>
        <v>-9.8591549295774517E-3</v>
      </c>
      <c r="L37" s="1"/>
      <c r="M37" s="10">
        <v>0.8</v>
      </c>
      <c r="N37" s="68">
        <v>3.9368112973984489E-3</v>
      </c>
      <c r="O37" s="4">
        <v>6.9996712608040991E-4</v>
      </c>
      <c r="P37" s="1"/>
      <c r="Q37" s="1"/>
      <c r="R37" s="1"/>
      <c r="W37" s="1"/>
      <c r="X37" s="1"/>
      <c r="Y37" s="1"/>
      <c r="Z37" s="1"/>
      <c r="AA37" s="1"/>
    </row>
    <row r="38" spans="1:27" x14ac:dyDescent="0.35">
      <c r="A38" s="12">
        <v>44938</v>
      </c>
      <c r="B38" s="20">
        <v>28400</v>
      </c>
      <c r="C38" s="20">
        <v>47400</v>
      </c>
      <c r="D38" s="20">
        <v>33100</v>
      </c>
      <c r="E38" s="20">
        <v>43300</v>
      </c>
      <c r="F38" s="20">
        <v>71000</v>
      </c>
      <c r="G38" s="14">
        <f t="shared" si="1"/>
        <v>6.367041198501866E-2</v>
      </c>
      <c r="H38" s="14">
        <f t="shared" si="2"/>
        <v>5.3022269353129037E-3</v>
      </c>
      <c r="I38" s="14">
        <f t="shared" si="3"/>
        <v>1.2232415902140747E-2</v>
      </c>
      <c r="J38" s="14">
        <f t="shared" si="4"/>
        <v>-2.2573363431151239E-2</v>
      </c>
      <c r="K38" s="14">
        <f t="shared" si="5"/>
        <v>2.1582733812949728E-2</v>
      </c>
      <c r="L38" s="1"/>
      <c r="M38" s="10">
        <v>0.7</v>
      </c>
      <c r="N38" s="68">
        <v>5.9052169460976746E-3</v>
      </c>
      <c r="O38" s="4">
        <v>9.8747123706582072E-4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5">
      <c r="A39" s="12">
        <v>44937</v>
      </c>
      <c r="B39" s="20">
        <v>26700</v>
      </c>
      <c r="C39" s="20">
        <v>47150</v>
      </c>
      <c r="D39" s="20">
        <v>32700</v>
      </c>
      <c r="E39" s="20">
        <v>44300</v>
      </c>
      <c r="F39" s="20">
        <v>69500</v>
      </c>
      <c r="G39" s="14">
        <f t="shared" si="1"/>
        <v>-7.4349442379182396E-3</v>
      </c>
      <c r="H39" s="14">
        <f t="shared" si="2"/>
        <v>5.3304904051172386E-3</v>
      </c>
      <c r="I39" s="14">
        <f t="shared" si="3"/>
        <v>-2.6785714285714302E-2</v>
      </c>
      <c r="J39" s="14">
        <f t="shared" si="4"/>
        <v>-1.5555555555555545E-2</v>
      </c>
      <c r="K39" s="14">
        <f t="shared" si="5"/>
        <v>6.9230769230769207E-2</v>
      </c>
      <c r="L39" s="1"/>
      <c r="M39" s="10">
        <v>0.6</v>
      </c>
      <c r="N39" s="68">
        <v>7.8736225947968995E-3</v>
      </c>
      <c r="O39" s="4">
        <v>1.2749753480512311E-3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5">
      <c r="A40" s="12">
        <v>44936</v>
      </c>
      <c r="B40" s="20">
        <v>26900</v>
      </c>
      <c r="C40" s="20">
        <v>46900</v>
      </c>
      <c r="D40" s="20">
        <v>33600</v>
      </c>
      <c r="E40" s="20">
        <v>45000</v>
      </c>
      <c r="F40" s="20">
        <v>65000</v>
      </c>
      <c r="G40" s="14">
        <f t="shared" si="1"/>
        <v>5.4901960784313752E-2</v>
      </c>
      <c r="H40" s="14">
        <f t="shared" si="2"/>
        <v>2.1367521367521292E-3</v>
      </c>
      <c r="I40" s="14">
        <f t="shared" si="3"/>
        <v>-1.7543859649122862E-2</v>
      </c>
      <c r="J40" s="14">
        <f t="shared" si="4"/>
        <v>-1.098901098901095E-2</v>
      </c>
      <c r="K40" s="14">
        <f t="shared" si="5"/>
        <v>-3.0674846625766694E-3</v>
      </c>
      <c r="L40" s="1"/>
      <c r="M40" s="10">
        <v>0.5</v>
      </c>
      <c r="N40" s="68">
        <v>9.8420282434961235E-3</v>
      </c>
      <c r="O40" s="4">
        <v>1.5624794590366415E-3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5">
      <c r="A41" s="12">
        <v>44935</v>
      </c>
      <c r="B41" s="20">
        <v>25500</v>
      </c>
      <c r="C41" s="20">
        <v>46800</v>
      </c>
      <c r="D41" s="20">
        <v>34200</v>
      </c>
      <c r="E41" s="20">
        <v>45500</v>
      </c>
      <c r="F41" s="20">
        <v>65200</v>
      </c>
      <c r="G41" s="14">
        <f t="shared" si="1"/>
        <v>-1.9230769230769273E-2</v>
      </c>
      <c r="H41" s="14">
        <f t="shared" si="2"/>
        <v>4.0000000000000036E-2</v>
      </c>
      <c r="I41" s="14">
        <f t="shared" si="3"/>
        <v>-1.1560693641618491E-2</v>
      </c>
      <c r="J41" s="14">
        <f t="shared" si="4"/>
        <v>-1.3015184381778733E-2</v>
      </c>
      <c r="K41" s="14">
        <f t="shared" si="5"/>
        <v>3.0769230769229772E-3</v>
      </c>
      <c r="L41" s="1"/>
      <c r="M41" s="10">
        <v>0.4</v>
      </c>
      <c r="N41" s="68">
        <v>1.1810433892195348E-2</v>
      </c>
      <c r="O41" s="4">
        <v>1.8499835700220518E-3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5">
      <c r="A42" s="12">
        <v>44932</v>
      </c>
      <c r="B42" s="20">
        <v>26000</v>
      </c>
      <c r="C42" s="20">
        <v>45000</v>
      </c>
      <c r="D42" s="20">
        <v>34600</v>
      </c>
      <c r="E42" s="20">
        <v>46100</v>
      </c>
      <c r="F42" s="20">
        <v>65000</v>
      </c>
      <c r="G42" s="14">
        <f t="shared" si="1"/>
        <v>3.1746031746031855E-2</v>
      </c>
      <c r="H42" s="14">
        <f t="shared" si="2"/>
        <v>1.1235955056179803E-2</v>
      </c>
      <c r="I42" s="14">
        <f t="shared" si="3"/>
        <v>1.4662756598240456E-2</v>
      </c>
      <c r="J42" s="14">
        <f t="shared" si="4"/>
        <v>1.2074643249176731E-2</v>
      </c>
      <c r="K42" s="14">
        <f t="shared" si="5"/>
        <v>2.0408163265306145E-2</v>
      </c>
      <c r="L42" s="1"/>
      <c r="M42" s="10">
        <v>0.3</v>
      </c>
      <c r="N42" s="68">
        <v>1.3778839540894572E-2</v>
      </c>
      <c r="O42" s="4">
        <v>2.1374876810074622E-3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5">
      <c r="A43" s="12">
        <v>44931</v>
      </c>
      <c r="B43" s="20">
        <v>25200</v>
      </c>
      <c r="C43" s="20">
        <v>44500</v>
      </c>
      <c r="D43" s="20">
        <v>34100</v>
      </c>
      <c r="E43" s="20">
        <v>45550</v>
      </c>
      <c r="F43" s="20">
        <v>63700</v>
      </c>
      <c r="G43" s="14">
        <f t="shared" si="1"/>
        <v>-1.5625E-2</v>
      </c>
      <c r="H43" s="14">
        <f t="shared" si="2"/>
        <v>0</v>
      </c>
      <c r="I43" s="14">
        <f t="shared" si="3"/>
        <v>-3.125E-2</v>
      </c>
      <c r="J43" s="14">
        <f t="shared" si="4"/>
        <v>-2.8784648187633266E-2</v>
      </c>
      <c r="K43" s="14">
        <f t="shared" si="5"/>
        <v>4.7318611987381409E-3</v>
      </c>
      <c r="L43" s="1"/>
      <c r="M43" s="10">
        <v>0.2</v>
      </c>
      <c r="N43" s="68">
        <v>1.5747245189593799E-2</v>
      </c>
      <c r="O43" s="4">
        <v>2.4249917919928732E-3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5">
      <c r="A44" s="12">
        <v>44930</v>
      </c>
      <c r="B44" s="20">
        <v>25600</v>
      </c>
      <c r="C44" s="20">
        <v>44500</v>
      </c>
      <c r="D44" s="20">
        <v>35200</v>
      </c>
      <c r="E44" s="20">
        <v>46900</v>
      </c>
      <c r="F44" s="20">
        <v>63400</v>
      </c>
      <c r="G44" s="14">
        <f t="shared" si="1"/>
        <v>-3.7593984962406068E-2</v>
      </c>
      <c r="H44" s="14">
        <f t="shared" si="2"/>
        <v>-1.8743109151047377E-2</v>
      </c>
      <c r="I44" s="14">
        <f t="shared" si="3"/>
        <v>0</v>
      </c>
      <c r="J44" s="14">
        <f t="shared" si="4"/>
        <v>-2.1276595744680327E-3</v>
      </c>
      <c r="K44" s="14">
        <f t="shared" si="5"/>
        <v>-3.793626707132014E-2</v>
      </c>
      <c r="L44" s="1"/>
      <c r="M44" s="10">
        <v>0.1</v>
      </c>
      <c r="N44" s="68">
        <v>1.7715650838293021E-2</v>
      </c>
      <c r="O44" s="4">
        <v>2.7124959029782834E-3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5">
      <c r="A45" s="12">
        <v>44929</v>
      </c>
      <c r="B45" s="20">
        <v>26600</v>
      </c>
      <c r="C45" s="20">
        <v>45350</v>
      </c>
      <c r="D45" s="20">
        <v>35200</v>
      </c>
      <c r="E45" s="20">
        <v>47000</v>
      </c>
      <c r="F45" s="20">
        <v>65900</v>
      </c>
      <c r="G45" s="14">
        <f t="shared" si="1"/>
        <v>1.9157088122605304E-2</v>
      </c>
      <c r="H45" s="14">
        <f t="shared" si="2"/>
        <v>-1.413043478260867E-2</v>
      </c>
      <c r="I45" s="14">
        <f t="shared" si="3"/>
        <v>2.9239766081871288E-2</v>
      </c>
      <c r="J45" s="14">
        <f t="shared" si="4"/>
        <v>-1.6736401673640211E-2</v>
      </c>
      <c r="K45" s="14">
        <f t="shared" si="5"/>
        <v>-6.0331825037707176E-3</v>
      </c>
      <c r="L45" s="1"/>
      <c r="M45" s="10">
        <v>0</v>
      </c>
      <c r="N45" s="68">
        <v>1.9684056486992247E-2</v>
      </c>
      <c r="O45" s="4">
        <v>3.000000013963694E-3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5">
      <c r="A46" s="12">
        <v>44925</v>
      </c>
      <c r="B46" s="20">
        <v>26100</v>
      </c>
      <c r="C46" s="20">
        <v>46000</v>
      </c>
      <c r="D46" s="20">
        <v>34200</v>
      </c>
      <c r="E46" s="20">
        <v>47800</v>
      </c>
      <c r="F46" s="20">
        <v>66300</v>
      </c>
      <c r="G46" s="14">
        <f t="shared" si="1"/>
        <v>7.7220077220077066E-3</v>
      </c>
      <c r="H46" s="14">
        <f t="shared" si="2"/>
        <v>1.098901098901095E-2</v>
      </c>
      <c r="I46" s="14">
        <f t="shared" si="3"/>
        <v>1.7857142857142794E-2</v>
      </c>
      <c r="J46" s="14">
        <f t="shared" si="4"/>
        <v>-4.1666666666666519E-3</v>
      </c>
      <c r="K46" s="14">
        <f t="shared" si="5"/>
        <v>2.6315789473684292E-2</v>
      </c>
      <c r="L46" s="1"/>
      <c r="M46" s="10">
        <v>-0.1</v>
      </c>
      <c r="N46" s="68">
        <v>2.1652462135691473E-2</v>
      </c>
      <c r="O46" s="4">
        <v>3.2875041249491046E-3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5">
      <c r="A47" s="12">
        <v>44924</v>
      </c>
      <c r="B47" s="20">
        <v>25900</v>
      </c>
      <c r="C47" s="20">
        <v>45500</v>
      </c>
      <c r="D47" s="20">
        <v>33600</v>
      </c>
      <c r="E47" s="20">
        <v>48000</v>
      </c>
      <c r="F47" s="20">
        <v>64600</v>
      </c>
      <c r="G47" s="14">
        <f t="shared" si="1"/>
        <v>2.7777777777777679E-2</v>
      </c>
      <c r="H47" s="14">
        <f t="shared" si="2"/>
        <v>-2.1929824561403022E-3</v>
      </c>
      <c r="I47" s="14">
        <f t="shared" si="3"/>
        <v>-2.3255813953488413E-2</v>
      </c>
      <c r="J47" s="14">
        <f t="shared" si="4"/>
        <v>1.9108280254777066E-2</v>
      </c>
      <c r="K47" s="14">
        <f t="shared" si="5"/>
        <v>6.230529595015577E-3</v>
      </c>
      <c r="L47" s="1"/>
      <c r="M47" s="10">
        <v>-0.2</v>
      </c>
      <c r="N47" s="68">
        <v>2.3620867784390695E-2</v>
      </c>
      <c r="O47" s="4">
        <v>3.5750082359345147E-3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5">
      <c r="A48" s="12">
        <v>44923</v>
      </c>
      <c r="B48" s="20">
        <v>25200</v>
      </c>
      <c r="C48" s="20">
        <v>45600</v>
      </c>
      <c r="D48" s="20">
        <v>34400</v>
      </c>
      <c r="E48" s="20">
        <v>47100</v>
      </c>
      <c r="F48" s="20">
        <v>64200</v>
      </c>
      <c r="G48" s="14">
        <f t="shared" si="1"/>
        <v>2.0242914979757165E-2</v>
      </c>
      <c r="H48" s="14">
        <f t="shared" si="2"/>
        <v>6.9167643610785534E-2</v>
      </c>
      <c r="I48" s="14">
        <f t="shared" si="3"/>
        <v>2.9940119760478945E-2</v>
      </c>
      <c r="J48" s="14">
        <f t="shared" si="4"/>
        <v>2.1276595744681437E-3</v>
      </c>
      <c r="K48" s="14">
        <f t="shared" si="5"/>
        <v>7.0000000000000062E-2</v>
      </c>
      <c r="L48" s="1"/>
      <c r="M48" s="10">
        <v>-0.3</v>
      </c>
      <c r="N48" s="68">
        <v>2.5589273433089921E-2</v>
      </c>
      <c r="O48" s="4">
        <v>3.8625123469199257E-3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5">
      <c r="A49" s="12">
        <v>44922</v>
      </c>
      <c r="B49" s="20">
        <v>24700</v>
      </c>
      <c r="C49" s="20">
        <v>42650</v>
      </c>
      <c r="D49" s="20">
        <v>33400</v>
      </c>
      <c r="E49" s="20">
        <v>47000</v>
      </c>
      <c r="F49" s="20">
        <v>60000</v>
      </c>
      <c r="G49" s="14">
        <f t="shared" si="1"/>
        <v>2.0661157024793431E-2</v>
      </c>
      <c r="H49" s="14">
        <f t="shared" si="2"/>
        <v>1.9115890083632125E-2</v>
      </c>
      <c r="I49" s="14">
        <f t="shared" si="3"/>
        <v>2.7692307692307683E-2</v>
      </c>
      <c r="J49" s="14">
        <f t="shared" si="4"/>
        <v>0</v>
      </c>
      <c r="K49" s="14">
        <f t="shared" si="5"/>
        <v>2.7397260273972712E-2</v>
      </c>
      <c r="L49" s="1"/>
      <c r="M49" s="10">
        <v>-0.4</v>
      </c>
      <c r="N49" s="68">
        <v>2.7557679081789143E-2</v>
      </c>
      <c r="O49" s="4">
        <v>4.1500164579053355E-3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5">
      <c r="A50" s="12">
        <v>44921</v>
      </c>
      <c r="B50" s="20">
        <v>24200</v>
      </c>
      <c r="C50" s="20">
        <v>41850</v>
      </c>
      <c r="D50" s="20">
        <v>32500</v>
      </c>
      <c r="E50" s="20">
        <v>47000</v>
      </c>
      <c r="F50" s="20">
        <v>58400</v>
      </c>
      <c r="G50" s="14">
        <f t="shared" si="1"/>
        <v>-2.4193548387096753E-2</v>
      </c>
      <c r="H50" s="14">
        <f t="shared" si="2"/>
        <v>1.1961722488038617E-3</v>
      </c>
      <c r="I50" s="14">
        <f t="shared" si="3"/>
        <v>-2.9850746268656692E-2</v>
      </c>
      <c r="J50" s="14">
        <f t="shared" si="4"/>
        <v>-1.1566771819137789E-2</v>
      </c>
      <c r="K50" s="14">
        <f t="shared" si="5"/>
        <v>3.3628318584070893E-2</v>
      </c>
      <c r="L50" s="1"/>
      <c r="M50" s="10">
        <v>-0.5</v>
      </c>
      <c r="N50" s="68">
        <v>2.9526084730488372E-2</v>
      </c>
      <c r="O50" s="4">
        <v>4.4375205688907465E-3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5">
      <c r="A51" s="12">
        <v>44918</v>
      </c>
      <c r="B51" s="20">
        <v>24800</v>
      </c>
      <c r="C51" s="20">
        <v>41800</v>
      </c>
      <c r="D51" s="20">
        <v>33500</v>
      </c>
      <c r="E51" s="20">
        <v>47550</v>
      </c>
      <c r="F51" s="20">
        <v>56500</v>
      </c>
      <c r="G51" s="14">
        <f t="shared" si="1"/>
        <v>2.9045643153526868E-2</v>
      </c>
      <c r="H51" s="14">
        <f t="shared" si="2"/>
        <v>1.4563106796116498E-2</v>
      </c>
      <c r="I51" s="14">
        <f t="shared" si="3"/>
        <v>1.2084592145015005E-2</v>
      </c>
      <c r="J51" s="14">
        <f t="shared" si="4"/>
        <v>2.1074815595363283E-3</v>
      </c>
      <c r="K51" s="14">
        <f t="shared" si="5"/>
        <v>8.9285714285713969E-3</v>
      </c>
      <c r="L51" s="1"/>
      <c r="M51" s="10">
        <v>-0.6</v>
      </c>
      <c r="N51" s="68">
        <v>3.1494490379187598E-2</v>
      </c>
      <c r="O51" s="4">
        <v>4.7250246798761575E-3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5">
      <c r="A52" s="12">
        <v>44917</v>
      </c>
      <c r="B52" s="20">
        <v>24100</v>
      </c>
      <c r="C52" s="20">
        <v>41200</v>
      </c>
      <c r="D52" s="20">
        <v>33100</v>
      </c>
      <c r="E52" s="20">
        <v>47450</v>
      </c>
      <c r="F52" s="20">
        <v>56000</v>
      </c>
      <c r="G52" s="14">
        <f t="shared" si="1"/>
        <v>2.5531914893617058E-2</v>
      </c>
      <c r="H52" s="14">
        <f t="shared" si="2"/>
        <v>3.0000000000000027E-2</v>
      </c>
      <c r="I52" s="14">
        <f t="shared" si="3"/>
        <v>-8.8154269972451793E-2</v>
      </c>
      <c r="J52" s="14">
        <f t="shared" si="4"/>
        <v>-1.0526315789474161E-3</v>
      </c>
      <c r="K52" s="14">
        <f t="shared" si="5"/>
        <v>-2.6086956521739091E-2</v>
      </c>
      <c r="L52" s="1"/>
      <c r="M52" s="10">
        <v>-0.7</v>
      </c>
      <c r="N52" s="68">
        <v>3.3462896027886817E-2</v>
      </c>
      <c r="O52" s="4">
        <v>5.0125287908615677E-3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5">
      <c r="A53" s="12">
        <v>44916</v>
      </c>
      <c r="B53" s="20">
        <v>23500</v>
      </c>
      <c r="C53" s="20">
        <v>40000</v>
      </c>
      <c r="D53" s="20">
        <v>36300</v>
      </c>
      <c r="E53" s="20">
        <v>47500</v>
      </c>
      <c r="F53" s="20">
        <v>57500</v>
      </c>
      <c r="G53" s="14">
        <f t="shared" si="1"/>
        <v>-6.0000000000000053E-2</v>
      </c>
      <c r="H53" s="14">
        <f t="shared" si="2"/>
        <v>-3.3816425120772986E-2</v>
      </c>
      <c r="I53" s="14">
        <f t="shared" si="3"/>
        <v>9.0090090090090058E-2</v>
      </c>
      <c r="J53" s="14">
        <f t="shared" si="4"/>
        <v>-3.6511156186612603E-2</v>
      </c>
      <c r="K53" s="14">
        <f t="shared" si="5"/>
        <v>-6.6558441558441594E-2</v>
      </c>
      <c r="L53" s="1"/>
      <c r="M53" s="10">
        <v>-0.8</v>
      </c>
      <c r="N53" s="68">
        <v>3.5431301676586043E-2</v>
      </c>
      <c r="O53" s="4">
        <v>5.3000329018469778E-3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5">
      <c r="A54" s="12">
        <v>44915</v>
      </c>
      <c r="B54" s="20">
        <v>25000</v>
      </c>
      <c r="C54" s="20">
        <v>41400</v>
      </c>
      <c r="D54" s="20">
        <v>33300</v>
      </c>
      <c r="E54" s="20">
        <v>49300</v>
      </c>
      <c r="F54" s="20">
        <v>61600</v>
      </c>
      <c r="G54" s="14">
        <f t="shared" si="1"/>
        <v>-6.7164179104477584E-2</v>
      </c>
      <c r="H54" s="14">
        <f t="shared" si="2"/>
        <v>-5.4794520547945202E-2</v>
      </c>
      <c r="I54" s="14">
        <f t="shared" si="3"/>
        <v>9.0909090909090384E-3</v>
      </c>
      <c r="J54" s="14">
        <f t="shared" si="4"/>
        <v>-3.3333333333333326E-2</v>
      </c>
      <c r="K54" s="14">
        <f t="shared" si="5"/>
        <v>-1.1235955056179803E-2</v>
      </c>
      <c r="L54" s="1"/>
      <c r="M54" s="10">
        <v>-0.9</v>
      </c>
      <c r="N54" s="68">
        <v>3.7399707325285268E-2</v>
      </c>
      <c r="O54" s="4">
        <v>5.587537012832388E-3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thickBot="1" x14ac:dyDescent="0.4">
      <c r="A55" s="12">
        <v>44914</v>
      </c>
      <c r="B55" s="20">
        <v>26800</v>
      </c>
      <c r="C55" s="20">
        <v>43800</v>
      </c>
      <c r="D55" s="20">
        <v>33000</v>
      </c>
      <c r="E55" s="20">
        <v>51000</v>
      </c>
      <c r="F55" s="20">
        <v>62300</v>
      </c>
      <c r="G55" s="14">
        <f t="shared" si="1"/>
        <v>-1.8315018315018361E-2</v>
      </c>
      <c r="H55" s="14">
        <f t="shared" si="2"/>
        <v>1.1428571428571122E-3</v>
      </c>
      <c r="I55" s="14">
        <f t="shared" si="3"/>
        <v>1.8518518518518601E-2</v>
      </c>
      <c r="J55" s="14">
        <f t="shared" si="4"/>
        <v>-3.90625E-3</v>
      </c>
      <c r="K55" s="14">
        <f t="shared" si="5"/>
        <v>3.3167495854063089E-2</v>
      </c>
      <c r="L55" s="1"/>
      <c r="M55" s="69">
        <v>-1</v>
      </c>
      <c r="N55" s="70">
        <v>3.9368112973984494E-2</v>
      </c>
      <c r="O55" s="71">
        <v>5.875041123817799E-3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5">
      <c r="A56" s="12">
        <v>44911</v>
      </c>
      <c r="B56" s="20">
        <v>27300</v>
      </c>
      <c r="C56" s="20">
        <v>43750</v>
      </c>
      <c r="D56" s="20">
        <v>32400</v>
      </c>
      <c r="E56" s="20">
        <v>51200</v>
      </c>
      <c r="F56" s="20">
        <v>60300</v>
      </c>
      <c r="G56" s="14">
        <f t="shared" si="1"/>
        <v>1.8656716417910557E-2</v>
      </c>
      <c r="H56" s="14">
        <f t="shared" si="2"/>
        <v>1.9813519813519864E-2</v>
      </c>
      <c r="I56" s="14">
        <f t="shared" si="3"/>
        <v>1.2499999999999956E-2</v>
      </c>
      <c r="J56" s="14">
        <f t="shared" si="4"/>
        <v>-2.4761904761904763E-2</v>
      </c>
      <c r="K56" s="14">
        <f t="shared" si="5"/>
        <v>-0.1507042253521127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5">
      <c r="A57" s="12">
        <v>44910</v>
      </c>
      <c r="B57" s="20">
        <v>26800</v>
      </c>
      <c r="C57" s="20">
        <v>42900</v>
      </c>
      <c r="D57" s="20">
        <v>32000</v>
      </c>
      <c r="E57" s="20">
        <v>52500</v>
      </c>
      <c r="F57" s="20">
        <v>71000</v>
      </c>
      <c r="G57" s="14">
        <f t="shared" si="1"/>
        <v>2.6819923371647514E-2</v>
      </c>
      <c r="H57" s="14">
        <f t="shared" si="2"/>
        <v>-9.2378752886835835E-3</v>
      </c>
      <c r="I57" s="14">
        <f t="shared" si="3"/>
        <v>-1.538461538461533E-2</v>
      </c>
      <c r="J57" s="14">
        <f t="shared" si="4"/>
        <v>0</v>
      </c>
      <c r="K57" s="14">
        <f t="shared" si="5"/>
        <v>-2.0689655172413834E-2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5">
      <c r="A58" s="12">
        <v>44909</v>
      </c>
      <c r="B58" s="20">
        <v>26100</v>
      </c>
      <c r="C58" s="20">
        <v>43300</v>
      </c>
      <c r="D58" s="20">
        <v>32500</v>
      </c>
      <c r="E58" s="20">
        <v>52500</v>
      </c>
      <c r="F58" s="20">
        <v>72500</v>
      </c>
      <c r="G58" s="14">
        <f t="shared" si="1"/>
        <v>-3.8167938931297218E-3</v>
      </c>
      <c r="H58" s="14">
        <f t="shared" si="2"/>
        <v>4.3373493975903621E-2</v>
      </c>
      <c r="I58" s="14">
        <f t="shared" si="3"/>
        <v>7.2607260726072598E-2</v>
      </c>
      <c r="J58" s="14">
        <f t="shared" si="4"/>
        <v>5.2104208416833719E-2</v>
      </c>
      <c r="K58" s="14">
        <f t="shared" si="5"/>
        <v>3.5714285714285809E-2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5">
      <c r="A59" s="12">
        <v>44908</v>
      </c>
      <c r="B59" s="20">
        <v>26200</v>
      </c>
      <c r="C59" s="20">
        <v>41500</v>
      </c>
      <c r="D59" s="20">
        <v>30300</v>
      </c>
      <c r="E59" s="20">
        <v>49900</v>
      </c>
      <c r="F59" s="20">
        <v>70000</v>
      </c>
      <c r="G59" s="14">
        <f t="shared" si="1"/>
        <v>-1.132075471698113E-2</v>
      </c>
      <c r="H59" s="14">
        <f t="shared" si="2"/>
        <v>6.9587628865979356E-2</v>
      </c>
      <c r="I59" s="14">
        <f t="shared" si="3"/>
        <v>2.3648648648648685E-2</v>
      </c>
      <c r="J59" s="14">
        <f t="shared" si="4"/>
        <v>-1.3833992094861691E-2</v>
      </c>
      <c r="K59" s="14">
        <f t="shared" si="5"/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5">
      <c r="A60" s="12">
        <v>44907</v>
      </c>
      <c r="B60" s="20">
        <v>26500</v>
      </c>
      <c r="C60" s="20">
        <v>38800</v>
      </c>
      <c r="D60" s="20">
        <v>29600</v>
      </c>
      <c r="E60" s="20">
        <v>50600</v>
      </c>
      <c r="F60" s="20">
        <v>70000</v>
      </c>
      <c r="G60" s="14">
        <f t="shared" si="1"/>
        <v>-7.4906367041198685E-3</v>
      </c>
      <c r="H60" s="14">
        <f t="shared" si="2"/>
        <v>5.1813471502590858E-3</v>
      </c>
      <c r="I60" s="14">
        <f t="shared" si="3"/>
        <v>-3.3670033670033517E-3</v>
      </c>
      <c r="J60" s="14">
        <f t="shared" si="4"/>
        <v>1.2000000000000011E-2</v>
      </c>
      <c r="K60" s="14">
        <f t="shared" si="5"/>
        <v>1.1560693641618602E-2</v>
      </c>
      <c r="L60" s="1"/>
      <c r="M60" s="1"/>
      <c r="N60" s="1"/>
      <c r="O60" s="1"/>
      <c r="P60" s="1"/>
    </row>
    <row r="61" spans="1:27" x14ac:dyDescent="0.35">
      <c r="A61" s="12">
        <v>44904</v>
      </c>
      <c r="B61" s="20">
        <v>26700</v>
      </c>
      <c r="C61" s="20">
        <v>38600</v>
      </c>
      <c r="D61" s="20">
        <v>29700</v>
      </c>
      <c r="E61" s="20">
        <v>50000</v>
      </c>
      <c r="F61" s="20">
        <v>69200</v>
      </c>
      <c r="G61" s="14">
        <f t="shared" si="1"/>
        <v>-1.8382352941176516E-2</v>
      </c>
      <c r="H61" s="14">
        <f t="shared" si="2"/>
        <v>-1.7811704834605591E-2</v>
      </c>
      <c r="I61" s="14">
        <f t="shared" si="3"/>
        <v>-6.6889632107023367E-3</v>
      </c>
      <c r="J61" s="14">
        <f t="shared" si="4"/>
        <v>-2.7237354085603127E-2</v>
      </c>
      <c r="K61" s="14">
        <f t="shared" si="5"/>
        <v>-1.1428571428571455E-2</v>
      </c>
      <c r="L61" s="1"/>
      <c r="M61" s="1"/>
      <c r="N61" s="1"/>
      <c r="O61" s="1"/>
      <c r="P61" s="1"/>
    </row>
    <row r="62" spans="1:27" x14ac:dyDescent="0.35">
      <c r="A62" s="12">
        <v>44903</v>
      </c>
      <c r="B62" s="20">
        <v>27200</v>
      </c>
      <c r="C62" s="20">
        <v>39300</v>
      </c>
      <c r="D62" s="20">
        <v>29900</v>
      </c>
      <c r="E62" s="20">
        <v>51400</v>
      </c>
      <c r="F62" s="20">
        <v>70000</v>
      </c>
      <c r="G62" s="14">
        <f t="shared" si="1"/>
        <v>7.5098814229249022E-2</v>
      </c>
      <c r="H62" s="14">
        <f t="shared" si="2"/>
        <v>-2.5380710659897998E-3</v>
      </c>
      <c r="I62" s="14">
        <f t="shared" si="3"/>
        <v>-3.3333333333332993E-3</v>
      </c>
      <c r="J62" s="14">
        <f t="shared" si="4"/>
        <v>-1.1538461538461497E-2</v>
      </c>
      <c r="K62" s="14">
        <f t="shared" si="5"/>
        <v>0</v>
      </c>
      <c r="L62" s="1"/>
      <c r="M62" s="1"/>
      <c r="N62" s="1"/>
      <c r="O62" s="1"/>
      <c r="P62" s="1"/>
    </row>
    <row r="63" spans="1:27" x14ac:dyDescent="0.35">
      <c r="A63" s="12">
        <v>44902</v>
      </c>
      <c r="B63" s="20">
        <v>25300</v>
      </c>
      <c r="C63" s="20">
        <v>39400</v>
      </c>
      <c r="D63" s="20">
        <v>30000</v>
      </c>
      <c r="E63" s="20">
        <v>52000</v>
      </c>
      <c r="F63" s="20">
        <v>70000</v>
      </c>
      <c r="G63" s="14">
        <f t="shared" si="1"/>
        <v>0</v>
      </c>
      <c r="H63" s="14">
        <f t="shared" si="2"/>
        <v>5.1020408163264808E-3</v>
      </c>
      <c r="I63" s="14">
        <f t="shared" si="3"/>
        <v>3.8062283737024138E-2</v>
      </c>
      <c r="J63" s="14">
        <f t="shared" si="4"/>
        <v>-1.9193857965451588E-3</v>
      </c>
      <c r="K63" s="14">
        <f t="shared" si="5"/>
        <v>2.9411764705882248E-2</v>
      </c>
      <c r="L63" s="1"/>
      <c r="M63" s="1"/>
      <c r="N63" s="1"/>
      <c r="O63" s="1"/>
      <c r="P63" s="1"/>
    </row>
    <row r="64" spans="1:27" x14ac:dyDescent="0.35">
      <c r="A64" s="12">
        <v>44901</v>
      </c>
      <c r="B64" s="20">
        <v>25300</v>
      </c>
      <c r="C64" s="20">
        <v>39200</v>
      </c>
      <c r="D64" s="20">
        <v>28900</v>
      </c>
      <c r="E64" s="20">
        <v>52100</v>
      </c>
      <c r="F64" s="20">
        <v>68000</v>
      </c>
      <c r="G64" s="14">
        <f t="shared" si="1"/>
        <v>-3.937007874015741E-3</v>
      </c>
      <c r="H64" s="14">
        <f t="shared" si="2"/>
        <v>7.7120822622107621E-3</v>
      </c>
      <c r="I64" s="14">
        <f t="shared" si="3"/>
        <v>-2.3648648648648685E-2</v>
      </c>
      <c r="J64" s="14">
        <f t="shared" si="4"/>
        <v>-1.1385199240986688E-2</v>
      </c>
      <c r="K64" s="14">
        <f t="shared" si="5"/>
        <v>-8.7463556851311575E-3</v>
      </c>
      <c r="L64" s="1"/>
      <c r="M64" s="1"/>
      <c r="N64" s="1"/>
      <c r="O64" s="1"/>
      <c r="P64" s="1"/>
    </row>
    <row r="65" spans="1:27" x14ac:dyDescent="0.35">
      <c r="A65" s="12">
        <v>44900</v>
      </c>
      <c r="B65" s="20">
        <v>25400</v>
      </c>
      <c r="C65" s="20">
        <v>38900</v>
      </c>
      <c r="D65" s="20">
        <v>29600</v>
      </c>
      <c r="E65" s="20">
        <v>52700</v>
      </c>
      <c r="F65" s="20">
        <v>68600</v>
      </c>
      <c r="G65" s="14">
        <f t="shared" si="1"/>
        <v>0</v>
      </c>
      <c r="H65" s="14">
        <f t="shared" si="2"/>
        <v>2.5773195876288568E-3</v>
      </c>
      <c r="I65" s="14">
        <f t="shared" si="3"/>
        <v>2.7777777777777679E-2</v>
      </c>
      <c r="J65" s="14">
        <f t="shared" si="4"/>
        <v>-2.0446096654275103E-2</v>
      </c>
      <c r="K65" s="14">
        <f t="shared" si="5"/>
        <v>8.8235294117646745E-3</v>
      </c>
      <c r="L65" s="1"/>
      <c r="M65" s="1"/>
      <c r="N65" s="1"/>
      <c r="O65" s="1"/>
      <c r="P65" s="1"/>
    </row>
    <row r="66" spans="1:27" x14ac:dyDescent="0.35">
      <c r="A66" s="12">
        <v>44897</v>
      </c>
      <c r="B66" s="20">
        <v>25400</v>
      </c>
      <c r="C66" s="20">
        <v>38800</v>
      </c>
      <c r="D66" s="20">
        <v>28800</v>
      </c>
      <c r="E66" s="20">
        <v>53800</v>
      </c>
      <c r="F66" s="20">
        <v>68000</v>
      </c>
      <c r="G66" s="14">
        <f t="shared" si="1"/>
        <v>2.008032128514059E-2</v>
      </c>
      <c r="H66" s="14">
        <f t="shared" si="2"/>
        <v>4.8648648648648596E-2</v>
      </c>
      <c r="I66" s="14">
        <f t="shared" si="3"/>
        <v>6.9930069930070893E-3</v>
      </c>
      <c r="J66" s="14">
        <f t="shared" si="4"/>
        <v>-5.5452865064694601E-3</v>
      </c>
      <c r="K66" s="14">
        <f t="shared" si="5"/>
        <v>2.9498525073745618E-3</v>
      </c>
      <c r="L66" s="1"/>
      <c r="M66" s="1"/>
      <c r="N66" s="1"/>
      <c r="O66" s="1"/>
      <c r="P66" s="1"/>
    </row>
    <row r="67" spans="1:27" x14ac:dyDescent="0.35">
      <c r="A67" s="12">
        <v>44896</v>
      </c>
      <c r="B67" s="20">
        <v>24900</v>
      </c>
      <c r="C67" s="20">
        <v>37000</v>
      </c>
      <c r="D67" s="20">
        <v>28600</v>
      </c>
      <c r="E67" s="20">
        <v>54100</v>
      </c>
      <c r="F67" s="20">
        <v>67800</v>
      </c>
      <c r="G67" s="14">
        <f t="shared" si="1"/>
        <v>0</v>
      </c>
      <c r="H67" s="14">
        <f t="shared" si="2"/>
        <v>5.4347826086955653E-3</v>
      </c>
      <c r="I67" s="14">
        <f t="shared" si="3"/>
        <v>1.7793594306049876E-2</v>
      </c>
      <c r="J67" s="14">
        <f t="shared" si="4"/>
        <v>-1.0968921389396757E-2</v>
      </c>
      <c r="K67" s="14">
        <f t="shared" si="5"/>
        <v>1.0432190760059523E-2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5">
      <c r="A68" s="12">
        <v>44895</v>
      </c>
      <c r="B68" s="20">
        <v>24900</v>
      </c>
      <c r="C68" s="20">
        <v>36800</v>
      </c>
      <c r="D68" s="20">
        <v>28100</v>
      </c>
      <c r="E68" s="20">
        <v>54700</v>
      </c>
      <c r="F68" s="20">
        <v>67100</v>
      </c>
      <c r="G68" s="14">
        <f t="shared" si="1"/>
        <v>4.0322580645162365E-3</v>
      </c>
      <c r="H68" s="14">
        <f t="shared" si="2"/>
        <v>1.377410468319562E-2</v>
      </c>
      <c r="I68" s="14">
        <f t="shared" si="3"/>
        <v>-1.0563380281690127E-2</v>
      </c>
      <c r="J68" s="14">
        <f t="shared" si="4"/>
        <v>2.2429906542056122E-2</v>
      </c>
      <c r="K68" s="14">
        <f t="shared" si="5"/>
        <v>3.2307692307692371E-2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5">
      <c r="A69" s="12">
        <v>44894</v>
      </c>
      <c r="B69" s="20">
        <v>24800</v>
      </c>
      <c r="C69" s="20">
        <v>36300</v>
      </c>
      <c r="D69" s="20">
        <v>28400</v>
      </c>
      <c r="E69" s="20">
        <v>53500</v>
      </c>
      <c r="F69" s="20">
        <v>65000</v>
      </c>
      <c r="G69" s="14">
        <f t="shared" ref="G69:G132" si="9">B69/B70-1</f>
        <v>-8.0000000000000071E-3</v>
      </c>
      <c r="H69" s="14">
        <f t="shared" ref="H69:H132" si="10">C69/C70-1</f>
        <v>-1.2244897959183709E-2</v>
      </c>
      <c r="I69" s="14">
        <f t="shared" ref="I69:I132" si="11">D69/D70-1</f>
        <v>1.4285714285714235E-2</v>
      </c>
      <c r="J69" s="14">
        <f t="shared" ref="J69:J132" si="12">E69/E70-1</f>
        <v>-3.4296028880866469E-2</v>
      </c>
      <c r="K69" s="14">
        <f t="shared" ref="K69:K132" si="13">F69/F70-1</f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5">
      <c r="A70" s="12">
        <v>44893</v>
      </c>
      <c r="B70" s="20">
        <v>25000</v>
      </c>
      <c r="C70" s="20">
        <v>36750</v>
      </c>
      <c r="D70" s="20">
        <v>28000</v>
      </c>
      <c r="E70" s="20">
        <v>55400</v>
      </c>
      <c r="F70" s="20">
        <v>65000</v>
      </c>
      <c r="G70" s="14">
        <f t="shared" si="9"/>
        <v>3.7344398340249052E-2</v>
      </c>
      <c r="H70" s="14">
        <f t="shared" si="10"/>
        <v>0</v>
      </c>
      <c r="I70" s="14">
        <f t="shared" si="11"/>
        <v>3.3210332103321027E-2</v>
      </c>
      <c r="J70" s="14">
        <f t="shared" si="12"/>
        <v>-1.0714285714285676E-2</v>
      </c>
      <c r="K70" s="14">
        <f t="shared" si="13"/>
        <v>1.5408320493066618E-3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5">
      <c r="A71" s="12">
        <v>44890</v>
      </c>
      <c r="B71" s="20">
        <v>24100</v>
      </c>
      <c r="C71" s="20">
        <v>36750</v>
      </c>
      <c r="D71" s="20">
        <v>27100</v>
      </c>
      <c r="E71" s="20">
        <v>56000</v>
      </c>
      <c r="F71" s="20">
        <v>64900</v>
      </c>
      <c r="G71" s="14">
        <f t="shared" si="9"/>
        <v>-8.2304526748970819E-3</v>
      </c>
      <c r="H71" s="14">
        <f t="shared" si="10"/>
        <v>0</v>
      </c>
      <c r="I71" s="14">
        <f t="shared" si="11"/>
        <v>-1.4545454545454528E-2</v>
      </c>
      <c r="J71" s="14">
        <f t="shared" si="12"/>
        <v>3.512014787430684E-2</v>
      </c>
      <c r="K71" s="14">
        <f t="shared" si="13"/>
        <v>-2.4060150375939893E-2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5">
      <c r="A72" s="12">
        <v>44889</v>
      </c>
      <c r="B72" s="20">
        <v>24300</v>
      </c>
      <c r="C72" s="20">
        <v>36750</v>
      </c>
      <c r="D72" s="20">
        <v>27500</v>
      </c>
      <c r="E72" s="20">
        <v>54100</v>
      </c>
      <c r="F72" s="20">
        <v>66500</v>
      </c>
      <c r="G72" s="14">
        <f t="shared" si="9"/>
        <v>2.9661016949152463E-2</v>
      </c>
      <c r="H72" s="14">
        <f t="shared" si="10"/>
        <v>8.2304526748970819E-3</v>
      </c>
      <c r="I72" s="14">
        <f t="shared" si="11"/>
        <v>1.8518518518518601E-2</v>
      </c>
      <c r="J72" s="14">
        <f t="shared" si="12"/>
        <v>6.9169960474308345E-2</v>
      </c>
      <c r="K72" s="14">
        <f t="shared" si="13"/>
        <v>2.1505376344086002E-2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5">
      <c r="A73" s="12">
        <v>44888</v>
      </c>
      <c r="B73" s="20">
        <v>23600</v>
      </c>
      <c r="C73" s="20">
        <v>36450</v>
      </c>
      <c r="D73" s="20">
        <v>27000</v>
      </c>
      <c r="E73" s="20">
        <v>50600</v>
      </c>
      <c r="F73" s="20">
        <v>65100</v>
      </c>
      <c r="G73" s="14">
        <f t="shared" si="9"/>
        <v>1.7241379310344751E-2</v>
      </c>
      <c r="H73" s="14">
        <f t="shared" si="10"/>
        <v>3.2577903682719622E-2</v>
      </c>
      <c r="I73" s="14">
        <f t="shared" si="11"/>
        <v>1.8867924528301883E-2</v>
      </c>
      <c r="J73" s="14">
        <f t="shared" si="12"/>
        <v>0</v>
      </c>
      <c r="K73" s="14">
        <f t="shared" si="13"/>
        <v>9.302325581395321E-3</v>
      </c>
      <c r="L73" s="1"/>
      <c r="M73" s="1"/>
      <c r="N73" s="1"/>
      <c r="O73" s="1"/>
      <c r="P73" s="1"/>
      <c r="Q73" s="1"/>
    </row>
    <row r="74" spans="1:27" x14ac:dyDescent="0.35">
      <c r="A74" s="12">
        <v>44887</v>
      </c>
      <c r="B74" s="20">
        <v>23200</v>
      </c>
      <c r="C74" s="20">
        <v>35300</v>
      </c>
      <c r="D74" s="20">
        <v>26500</v>
      </c>
      <c r="E74" s="20">
        <v>50600</v>
      </c>
      <c r="F74" s="20">
        <v>64500</v>
      </c>
      <c r="G74" s="14">
        <f t="shared" si="9"/>
        <v>-3.3333333333333326E-2</v>
      </c>
      <c r="H74" s="14">
        <f t="shared" si="10"/>
        <v>0</v>
      </c>
      <c r="I74" s="14">
        <f t="shared" si="11"/>
        <v>-2.5735294117647078E-2</v>
      </c>
      <c r="J74" s="14">
        <f t="shared" si="12"/>
        <v>-9.7847358121331274E-3</v>
      </c>
      <c r="K74" s="14">
        <f t="shared" si="13"/>
        <v>4.0322580645161255E-2</v>
      </c>
      <c r="L74" s="1"/>
      <c r="M74" s="1"/>
      <c r="N74" s="1"/>
      <c r="O74" s="1"/>
      <c r="P74" s="1"/>
      <c r="Q74" s="1"/>
    </row>
    <row r="75" spans="1:27" x14ac:dyDescent="0.35">
      <c r="A75" s="12">
        <v>44886</v>
      </c>
      <c r="B75" s="20">
        <v>24000</v>
      </c>
      <c r="C75" s="20">
        <v>35300</v>
      </c>
      <c r="D75" s="20">
        <v>27200</v>
      </c>
      <c r="E75" s="20">
        <v>51100</v>
      </c>
      <c r="F75" s="20">
        <v>62000</v>
      </c>
      <c r="G75" s="14">
        <f t="shared" si="9"/>
        <v>5.7268722466960353E-2</v>
      </c>
      <c r="H75" s="14">
        <f t="shared" si="10"/>
        <v>2.9154518950437414E-2</v>
      </c>
      <c r="I75" s="14">
        <f t="shared" si="11"/>
        <v>2.6415094339622636E-2</v>
      </c>
      <c r="J75" s="14">
        <f t="shared" si="12"/>
        <v>7.8895463510848529E-3</v>
      </c>
      <c r="K75" s="14">
        <f t="shared" si="13"/>
        <v>6.3464837049742817E-2</v>
      </c>
      <c r="L75" s="1"/>
      <c r="M75" s="1"/>
      <c r="N75" s="1"/>
      <c r="O75" s="1"/>
      <c r="P75" s="1"/>
      <c r="Q75" s="1"/>
    </row>
    <row r="76" spans="1:27" x14ac:dyDescent="0.35">
      <c r="A76" s="12">
        <v>44883</v>
      </c>
      <c r="B76" s="20">
        <v>22700</v>
      </c>
      <c r="C76" s="20">
        <v>34300</v>
      </c>
      <c r="D76" s="20">
        <v>26500</v>
      </c>
      <c r="E76" s="20">
        <v>50700</v>
      </c>
      <c r="F76" s="20">
        <v>58300</v>
      </c>
      <c r="G76" s="14">
        <f t="shared" si="9"/>
        <v>-4.3859649122807154E-3</v>
      </c>
      <c r="H76" s="14">
        <f t="shared" si="10"/>
        <v>1.4792899408283988E-2</v>
      </c>
      <c r="I76" s="14">
        <f t="shared" si="11"/>
        <v>-1.4869888475836479E-2</v>
      </c>
      <c r="J76" s="14">
        <f t="shared" si="12"/>
        <v>5.9523809523809312E-3</v>
      </c>
      <c r="K76" s="14">
        <f t="shared" si="13"/>
        <v>-5.1194539249146409E-3</v>
      </c>
      <c r="L76" s="1"/>
      <c r="M76" s="1"/>
      <c r="N76" s="1"/>
      <c r="O76" s="1"/>
      <c r="P76" s="1"/>
      <c r="Q76" s="1"/>
    </row>
    <row r="77" spans="1:27" x14ac:dyDescent="0.35">
      <c r="A77" s="12">
        <v>44882</v>
      </c>
      <c r="B77" s="20">
        <v>22800</v>
      </c>
      <c r="C77" s="20">
        <v>33800</v>
      </c>
      <c r="D77" s="20">
        <v>26900</v>
      </c>
      <c r="E77" s="20">
        <v>50400</v>
      </c>
      <c r="F77" s="20">
        <v>58600</v>
      </c>
      <c r="G77" s="14">
        <f t="shared" si="9"/>
        <v>1.3333333333333419E-2</v>
      </c>
      <c r="H77" s="14">
        <f t="shared" si="10"/>
        <v>3.0487804878048808E-2</v>
      </c>
      <c r="I77" s="14">
        <f t="shared" si="11"/>
        <v>7.6000000000000068E-2</v>
      </c>
      <c r="J77" s="14">
        <f t="shared" si="12"/>
        <v>1.9880715705764551E-3</v>
      </c>
      <c r="K77" s="14">
        <f t="shared" si="13"/>
        <v>3.7168141592920367E-2</v>
      </c>
      <c r="L77" s="1"/>
      <c r="M77" s="1"/>
      <c r="N77" s="1"/>
      <c r="O77" s="1"/>
      <c r="P77" s="1"/>
      <c r="Q77" s="1"/>
    </row>
    <row r="78" spans="1:27" x14ac:dyDescent="0.35">
      <c r="A78" s="12">
        <v>44881</v>
      </c>
      <c r="B78" s="20">
        <v>22500</v>
      </c>
      <c r="C78" s="20">
        <v>32800</v>
      </c>
      <c r="D78" s="20">
        <v>25000</v>
      </c>
      <c r="E78" s="20">
        <v>50300</v>
      </c>
      <c r="F78" s="20">
        <v>56500</v>
      </c>
      <c r="G78" s="14">
        <f t="shared" si="9"/>
        <v>-9.2741935483870996E-2</v>
      </c>
      <c r="H78" s="14">
        <f t="shared" si="10"/>
        <v>-1.6491754122938573E-2</v>
      </c>
      <c r="I78" s="14">
        <f t="shared" si="11"/>
        <v>-7.7490774907749027E-2</v>
      </c>
      <c r="J78" s="14">
        <f t="shared" si="12"/>
        <v>-5.9288537549406772E-3</v>
      </c>
      <c r="K78" s="14">
        <f t="shared" si="13"/>
        <v>0</v>
      </c>
      <c r="L78" s="1"/>
      <c r="M78" s="1"/>
      <c r="N78" s="1"/>
      <c r="O78" s="1"/>
      <c r="P78" s="1"/>
      <c r="Q78" s="1"/>
    </row>
    <row r="79" spans="1:27" x14ac:dyDescent="0.35">
      <c r="A79" s="12">
        <v>44880</v>
      </c>
      <c r="B79" s="20">
        <v>24800</v>
      </c>
      <c r="C79" s="20">
        <v>33350</v>
      </c>
      <c r="D79" s="20">
        <v>27100</v>
      </c>
      <c r="E79" s="20">
        <v>50600</v>
      </c>
      <c r="F79" s="20">
        <v>56500</v>
      </c>
      <c r="G79" s="14">
        <f t="shared" si="9"/>
        <v>-1.9762845849802368E-2</v>
      </c>
      <c r="H79" s="14">
        <f t="shared" si="10"/>
        <v>4.5180722891566827E-3</v>
      </c>
      <c r="I79" s="14">
        <f t="shared" si="11"/>
        <v>-2.5179856115107868E-2</v>
      </c>
      <c r="J79" s="14">
        <f t="shared" si="12"/>
        <v>-1.9723865877712132E-3</v>
      </c>
      <c r="K79" s="14">
        <f t="shared" si="13"/>
        <v>-1.0507880910682998E-2</v>
      </c>
      <c r="L79" s="1"/>
      <c r="M79" s="1"/>
      <c r="N79" s="1"/>
      <c r="O79" s="1"/>
      <c r="P79" s="1"/>
      <c r="Q79" s="1"/>
    </row>
    <row r="80" spans="1:27" x14ac:dyDescent="0.35">
      <c r="A80" s="12">
        <v>44879</v>
      </c>
      <c r="B80" s="20">
        <v>25300</v>
      </c>
      <c r="C80" s="20">
        <v>33200</v>
      </c>
      <c r="D80" s="20">
        <v>27800</v>
      </c>
      <c r="E80" s="20">
        <v>50700</v>
      </c>
      <c r="F80" s="20">
        <v>57100</v>
      </c>
      <c r="G80" s="14">
        <f t="shared" si="9"/>
        <v>0</v>
      </c>
      <c r="H80" s="14">
        <f t="shared" si="10"/>
        <v>1.0654490106544845E-2</v>
      </c>
      <c r="I80" s="14">
        <f t="shared" si="11"/>
        <v>4.9056603773584895E-2</v>
      </c>
      <c r="J80" s="14">
        <f t="shared" si="12"/>
        <v>5.9523809523809312E-3</v>
      </c>
      <c r="K80" s="14">
        <f t="shared" si="13"/>
        <v>2.8828828828828756E-2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5">
      <c r="A81" s="12">
        <v>44876</v>
      </c>
      <c r="B81" s="20">
        <v>25300</v>
      </c>
      <c r="C81" s="20">
        <v>32850</v>
      </c>
      <c r="D81" s="20">
        <v>26500</v>
      </c>
      <c r="E81" s="20">
        <v>50400</v>
      </c>
      <c r="F81" s="20">
        <v>55500</v>
      </c>
      <c r="G81" s="14">
        <f t="shared" si="9"/>
        <v>-1.5564202334630295E-2</v>
      </c>
      <c r="H81" s="14">
        <f t="shared" si="10"/>
        <v>3.0534351145037331E-3</v>
      </c>
      <c r="I81" s="14">
        <f t="shared" si="11"/>
        <v>-2.9304029304029311E-2</v>
      </c>
      <c r="J81" s="14">
        <f t="shared" si="12"/>
        <v>-1.980198019801982E-3</v>
      </c>
      <c r="K81" s="14">
        <f t="shared" si="13"/>
        <v>-2.4604569420035194E-2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5">
      <c r="A82" s="12">
        <v>44875</v>
      </c>
      <c r="B82" s="20">
        <v>25700</v>
      </c>
      <c r="C82" s="20">
        <v>32750</v>
      </c>
      <c r="D82" s="20">
        <v>27300</v>
      </c>
      <c r="E82" s="20">
        <v>50500</v>
      </c>
      <c r="F82" s="20">
        <v>56900</v>
      </c>
      <c r="G82" s="14">
        <f t="shared" si="9"/>
        <v>5.7613168724279795E-2</v>
      </c>
      <c r="H82" s="14">
        <f t="shared" si="10"/>
        <v>3.3123028391167209E-2</v>
      </c>
      <c r="I82" s="14">
        <f t="shared" si="11"/>
        <v>9.6385542168674787E-2</v>
      </c>
      <c r="J82" s="14">
        <f t="shared" si="12"/>
        <v>1.9841269841269771E-3</v>
      </c>
      <c r="K82" s="14">
        <f t="shared" si="13"/>
        <v>2.3381294964028854E-2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5">
      <c r="A83" s="12">
        <v>44874</v>
      </c>
      <c r="B83" s="20">
        <v>24300</v>
      </c>
      <c r="C83" s="20">
        <v>31700</v>
      </c>
      <c r="D83" s="20">
        <v>24900</v>
      </c>
      <c r="E83" s="20">
        <v>50400</v>
      </c>
      <c r="F83" s="20">
        <v>55600</v>
      </c>
      <c r="G83" s="14">
        <f t="shared" si="9"/>
        <v>3.8461538461538547E-2</v>
      </c>
      <c r="H83" s="14">
        <f t="shared" si="10"/>
        <v>-6.7647058823529393E-2</v>
      </c>
      <c r="I83" s="14">
        <f t="shared" si="11"/>
        <v>-9.4545454545454599E-2</v>
      </c>
      <c r="J83" s="14">
        <f t="shared" si="12"/>
        <v>-1.5625E-2</v>
      </c>
      <c r="K83" s="14">
        <f t="shared" si="13"/>
        <v>-6.8676716917922986E-2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5">
      <c r="A84" s="12">
        <v>44873</v>
      </c>
      <c r="B84" s="20">
        <v>23400</v>
      </c>
      <c r="C84" s="20">
        <v>34000</v>
      </c>
      <c r="D84" s="20">
        <v>27500</v>
      </c>
      <c r="E84" s="20">
        <v>51200</v>
      </c>
      <c r="F84" s="20">
        <v>59700</v>
      </c>
      <c r="G84" s="14">
        <f t="shared" si="9"/>
        <v>-5.6451612903225756E-2</v>
      </c>
      <c r="H84" s="14">
        <f t="shared" si="10"/>
        <v>-2.2988505747126409E-2</v>
      </c>
      <c r="I84" s="14">
        <f t="shared" si="11"/>
        <v>-9.539473684210531E-2</v>
      </c>
      <c r="J84" s="14">
        <f t="shared" si="12"/>
        <v>-3.8910505836575737E-3</v>
      </c>
      <c r="K84" s="14">
        <f t="shared" si="13"/>
        <v>-2.9268292682926855E-2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5">
      <c r="A85" s="12">
        <v>44872</v>
      </c>
      <c r="B85" s="20">
        <v>24800</v>
      </c>
      <c r="C85" s="20">
        <v>34800</v>
      </c>
      <c r="D85" s="20">
        <v>30400</v>
      </c>
      <c r="E85" s="20">
        <v>51400</v>
      </c>
      <c r="F85" s="20">
        <v>61500</v>
      </c>
      <c r="G85" s="14">
        <f t="shared" si="9"/>
        <v>-4.0160642570281624E-3</v>
      </c>
      <c r="H85" s="14">
        <f t="shared" si="10"/>
        <v>-3.4674063800277377E-2</v>
      </c>
      <c r="I85" s="14">
        <f t="shared" si="11"/>
        <v>-3.2786885245901232E-3</v>
      </c>
      <c r="J85" s="14">
        <f t="shared" si="12"/>
        <v>3.90625E-3</v>
      </c>
      <c r="K85" s="14">
        <f t="shared" si="13"/>
        <v>1.6286644951140072E-3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5">
      <c r="A86" s="12">
        <v>44869</v>
      </c>
      <c r="B86" s="20">
        <v>24900</v>
      </c>
      <c r="C86" s="20">
        <v>36050</v>
      </c>
      <c r="D86" s="20">
        <v>30500</v>
      </c>
      <c r="E86" s="20">
        <v>51200</v>
      </c>
      <c r="F86" s="20">
        <v>61400</v>
      </c>
      <c r="G86" s="14">
        <f t="shared" si="9"/>
        <v>-4.0000000000000036E-3</v>
      </c>
      <c r="H86" s="14">
        <f t="shared" si="10"/>
        <v>-4.1436464088397962E-3</v>
      </c>
      <c r="I86" s="14">
        <f t="shared" si="11"/>
        <v>3.0405405405405483E-2</v>
      </c>
      <c r="J86" s="14">
        <f t="shared" si="12"/>
        <v>1.1857707509881354E-2</v>
      </c>
      <c r="K86" s="14">
        <f t="shared" si="13"/>
        <v>-9.6774193548386789E-3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5">
      <c r="A87" s="12">
        <v>44868</v>
      </c>
      <c r="B87" s="20">
        <v>25000</v>
      </c>
      <c r="C87" s="20">
        <v>36200</v>
      </c>
      <c r="D87" s="20">
        <v>29600</v>
      </c>
      <c r="E87" s="20">
        <v>50600</v>
      </c>
      <c r="F87" s="20">
        <v>62000</v>
      </c>
      <c r="G87" s="14">
        <f t="shared" si="9"/>
        <v>-7.407407407407407E-2</v>
      </c>
      <c r="H87" s="14">
        <f t="shared" si="10"/>
        <v>-1.2278308321964526E-2</v>
      </c>
      <c r="I87" s="14">
        <f t="shared" si="11"/>
        <v>-9.7560975609756073E-2</v>
      </c>
      <c r="J87" s="14">
        <f t="shared" si="12"/>
        <v>-1.747572815533982E-2</v>
      </c>
      <c r="K87" s="14">
        <f t="shared" si="13"/>
        <v>-4.3209876543209846E-2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5">
      <c r="A88" s="12">
        <v>44867</v>
      </c>
      <c r="B88" s="20">
        <v>27000</v>
      </c>
      <c r="C88" s="20">
        <v>36650</v>
      </c>
      <c r="D88" s="20">
        <v>32800</v>
      </c>
      <c r="E88" s="20">
        <v>51500</v>
      </c>
      <c r="F88" s="20">
        <v>64800</v>
      </c>
      <c r="G88" s="14">
        <f t="shared" si="9"/>
        <v>-3.9145907473309594E-2</v>
      </c>
      <c r="H88" s="14">
        <f t="shared" si="10"/>
        <v>-1.7426273458445052E-2</v>
      </c>
      <c r="I88" s="14">
        <f t="shared" si="11"/>
        <v>-3.5294117647058809E-2</v>
      </c>
      <c r="J88" s="14">
        <f t="shared" si="12"/>
        <v>-1.9379844961240345E-3</v>
      </c>
      <c r="K88" s="14">
        <f t="shared" si="13"/>
        <v>3.0959752321981782E-3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5">
      <c r="A89" s="12">
        <v>44866</v>
      </c>
      <c r="B89" s="20">
        <v>28100</v>
      </c>
      <c r="C89" s="20">
        <v>37300</v>
      </c>
      <c r="D89" s="20">
        <v>34000</v>
      </c>
      <c r="E89" s="20">
        <v>51600</v>
      </c>
      <c r="F89" s="20">
        <v>64600</v>
      </c>
      <c r="G89" s="14">
        <f t="shared" si="9"/>
        <v>-7.0671378091873294E-3</v>
      </c>
      <c r="H89" s="14">
        <f t="shared" si="10"/>
        <v>1.3586956521739024E-2</v>
      </c>
      <c r="I89" s="14">
        <f t="shared" si="11"/>
        <v>2.7190332326284095E-2</v>
      </c>
      <c r="J89" s="14">
        <f t="shared" si="12"/>
        <v>-3.8610038610038533E-3</v>
      </c>
      <c r="K89" s="14">
        <f t="shared" si="13"/>
        <v>4.870129870129869E-2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5">
      <c r="A90" s="12">
        <v>44865</v>
      </c>
      <c r="B90" s="20">
        <v>28300</v>
      </c>
      <c r="C90" s="20">
        <v>36800</v>
      </c>
      <c r="D90" s="20">
        <v>33100</v>
      </c>
      <c r="E90" s="20">
        <v>51800</v>
      </c>
      <c r="F90" s="20">
        <v>61600</v>
      </c>
      <c r="G90" s="14">
        <f t="shared" si="9"/>
        <v>-1.736111111111116E-2</v>
      </c>
      <c r="H90" s="14">
        <f t="shared" si="10"/>
        <v>2.7247956403269047E-3</v>
      </c>
      <c r="I90" s="14">
        <f t="shared" si="11"/>
        <v>9.9667774086378724E-2</v>
      </c>
      <c r="J90" s="14">
        <f t="shared" si="12"/>
        <v>1.171875E-2</v>
      </c>
      <c r="K90" s="14">
        <f t="shared" si="13"/>
        <v>3.3557046979865834E-2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5">
      <c r="A91" s="12">
        <v>44862</v>
      </c>
      <c r="B91" s="20">
        <v>28800</v>
      </c>
      <c r="C91" s="20">
        <v>36700</v>
      </c>
      <c r="D91" s="20">
        <v>30100</v>
      </c>
      <c r="E91" s="20">
        <v>51200</v>
      </c>
      <c r="F91" s="20">
        <v>59600</v>
      </c>
      <c r="G91" s="14">
        <f t="shared" si="9"/>
        <v>-3.3557046979865723E-2</v>
      </c>
      <c r="H91" s="14">
        <f t="shared" si="10"/>
        <v>-1.0781671159029615E-2</v>
      </c>
      <c r="I91" s="14">
        <f t="shared" si="11"/>
        <v>-1.9543973941368087E-2</v>
      </c>
      <c r="J91" s="14">
        <f t="shared" si="12"/>
        <v>3.9215686274509665E-3</v>
      </c>
      <c r="K91" s="14">
        <f t="shared" si="13"/>
        <v>6.7567567567567988E-3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5">
      <c r="A92" s="12">
        <v>44861</v>
      </c>
      <c r="B92" s="20">
        <v>29800</v>
      </c>
      <c r="C92" s="20">
        <v>37100</v>
      </c>
      <c r="D92" s="20">
        <v>30700</v>
      </c>
      <c r="E92" s="20">
        <v>51000</v>
      </c>
      <c r="F92" s="20">
        <v>59200</v>
      </c>
      <c r="G92" s="14">
        <f t="shared" si="9"/>
        <v>-2.2950819672131195E-2</v>
      </c>
      <c r="H92" s="14">
        <f t="shared" si="10"/>
        <v>5.4200542005420349E-3</v>
      </c>
      <c r="I92" s="14">
        <f t="shared" si="11"/>
        <v>-1.2861736334405127E-2</v>
      </c>
      <c r="J92" s="14">
        <f t="shared" si="12"/>
        <v>1.9646365422396617E-3</v>
      </c>
      <c r="K92" s="14">
        <f t="shared" si="13"/>
        <v>1.3698630136986356E-2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5">
      <c r="A93" s="12">
        <v>44860</v>
      </c>
      <c r="B93" s="20">
        <v>30500</v>
      </c>
      <c r="C93" s="20">
        <v>36900</v>
      </c>
      <c r="D93" s="20">
        <v>31100</v>
      </c>
      <c r="E93" s="20">
        <v>50900</v>
      </c>
      <c r="F93" s="20">
        <v>58400</v>
      </c>
      <c r="G93" s="14">
        <f t="shared" si="9"/>
        <v>6.6006600660066805E-3</v>
      </c>
      <c r="H93" s="14">
        <f t="shared" si="10"/>
        <v>2.7173913043478937E-3</v>
      </c>
      <c r="I93" s="14">
        <f t="shared" si="11"/>
        <v>1.9672131147540961E-2</v>
      </c>
      <c r="J93" s="14">
        <f t="shared" si="12"/>
        <v>1.1928429423459175E-2</v>
      </c>
      <c r="K93" s="14">
        <f t="shared" si="13"/>
        <v>3.4364261168384758E-3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5">
      <c r="A94" s="12">
        <v>44859</v>
      </c>
      <c r="B94" s="20">
        <v>30300</v>
      </c>
      <c r="C94" s="20">
        <v>36800</v>
      </c>
      <c r="D94" s="20">
        <v>30500</v>
      </c>
      <c r="E94" s="20">
        <v>50300</v>
      </c>
      <c r="F94" s="20">
        <v>58200</v>
      </c>
      <c r="G94" s="14">
        <f t="shared" si="9"/>
        <v>2.7118644067796627E-2</v>
      </c>
      <c r="H94" s="14">
        <f t="shared" si="10"/>
        <v>-5.4054054054053502E-3</v>
      </c>
      <c r="I94" s="14">
        <f t="shared" si="11"/>
        <v>6.643356643356646E-2</v>
      </c>
      <c r="J94" s="14">
        <f t="shared" si="12"/>
        <v>3.9920159680639777E-3</v>
      </c>
      <c r="K94" s="14">
        <f t="shared" si="13"/>
        <v>-8.5178875638841633E-3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5">
      <c r="A95" s="12">
        <v>44858</v>
      </c>
      <c r="B95" s="20">
        <v>29500</v>
      </c>
      <c r="C95" s="20">
        <v>37000</v>
      </c>
      <c r="D95" s="20">
        <v>28600</v>
      </c>
      <c r="E95" s="20">
        <v>50100</v>
      </c>
      <c r="F95" s="20">
        <v>58700</v>
      </c>
      <c r="G95" s="14">
        <f t="shared" si="9"/>
        <v>-1.3377926421404673E-2</v>
      </c>
      <c r="H95" s="14">
        <f t="shared" si="10"/>
        <v>-2.3746701846965701E-2</v>
      </c>
      <c r="I95" s="14">
        <f t="shared" si="11"/>
        <v>-1.038062283737029E-2</v>
      </c>
      <c r="J95" s="14">
        <f t="shared" si="12"/>
        <v>4.0080160320641323E-3</v>
      </c>
      <c r="K95" s="14">
        <f t="shared" si="13"/>
        <v>-5.0847457627118953E-3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5">
      <c r="A96" s="12">
        <v>44855</v>
      </c>
      <c r="B96" s="20">
        <v>29900</v>
      </c>
      <c r="C96" s="20">
        <v>37900</v>
      </c>
      <c r="D96" s="20">
        <v>28900</v>
      </c>
      <c r="E96" s="20">
        <v>49900</v>
      </c>
      <c r="F96" s="20">
        <v>59000</v>
      </c>
      <c r="G96" s="14">
        <f t="shared" si="9"/>
        <v>-1.9672131147540961E-2</v>
      </c>
      <c r="H96" s="14">
        <f t="shared" si="10"/>
        <v>1.6085790884718509E-2</v>
      </c>
      <c r="I96" s="14">
        <f t="shared" si="11"/>
        <v>1.4035087719298289E-2</v>
      </c>
      <c r="J96" s="14">
        <f t="shared" si="12"/>
        <v>-2.0000000000000018E-3</v>
      </c>
      <c r="K96" s="14">
        <f t="shared" si="13"/>
        <v>-1.9933554817275767E-2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5">
      <c r="A97" s="12">
        <v>44854</v>
      </c>
      <c r="B97" s="20">
        <v>30500</v>
      </c>
      <c r="C97" s="20">
        <v>37300</v>
      </c>
      <c r="D97" s="20">
        <v>28500</v>
      </c>
      <c r="E97" s="20">
        <v>50000</v>
      </c>
      <c r="F97" s="20">
        <v>60200</v>
      </c>
      <c r="G97" s="14">
        <f t="shared" si="9"/>
        <v>3.2894736842106198E-3</v>
      </c>
      <c r="H97" s="14">
        <f t="shared" si="10"/>
        <v>-2.3560209424083767E-2</v>
      </c>
      <c r="I97" s="14">
        <f t="shared" si="11"/>
        <v>0</v>
      </c>
      <c r="J97" s="14">
        <f t="shared" si="12"/>
        <v>-9.9009900990099098E-3</v>
      </c>
      <c r="K97" s="14">
        <f t="shared" si="13"/>
        <v>8.3752093802345051E-3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5">
      <c r="A98" s="12">
        <v>44853</v>
      </c>
      <c r="B98" s="20">
        <v>30400</v>
      </c>
      <c r="C98" s="20">
        <v>38200</v>
      </c>
      <c r="D98" s="20">
        <v>28500</v>
      </c>
      <c r="E98" s="20">
        <v>50500</v>
      </c>
      <c r="F98" s="20">
        <v>59700</v>
      </c>
      <c r="G98" s="14">
        <f t="shared" si="9"/>
        <v>1.6722408026755842E-2</v>
      </c>
      <c r="H98" s="14">
        <f t="shared" si="10"/>
        <v>-2.0512820512820551E-2</v>
      </c>
      <c r="I98" s="14">
        <f t="shared" si="11"/>
        <v>7.0671378091873294E-3</v>
      </c>
      <c r="J98" s="14">
        <f t="shared" si="12"/>
        <v>-5.9055118110236116E-3</v>
      </c>
      <c r="K98" s="14">
        <f t="shared" si="13"/>
        <v>-9.9502487562188602E-3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5">
      <c r="A99" s="12">
        <v>44852</v>
      </c>
      <c r="B99" s="20">
        <v>29900</v>
      </c>
      <c r="C99" s="20">
        <v>39000</v>
      </c>
      <c r="D99" s="20">
        <v>28300</v>
      </c>
      <c r="E99" s="20">
        <v>50800</v>
      </c>
      <c r="F99" s="20">
        <v>60300</v>
      </c>
      <c r="G99" s="14">
        <f t="shared" si="9"/>
        <v>-3.3333333333332993E-3</v>
      </c>
      <c r="H99" s="14">
        <f t="shared" si="10"/>
        <v>0</v>
      </c>
      <c r="I99" s="14">
        <f t="shared" si="11"/>
        <v>7.1174377224199059E-3</v>
      </c>
      <c r="J99" s="14">
        <f t="shared" si="12"/>
        <v>5.9405940594059459E-3</v>
      </c>
      <c r="K99" s="14">
        <f t="shared" si="13"/>
        <v>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5">
      <c r="A100" s="12">
        <v>44851</v>
      </c>
      <c r="B100" s="20">
        <v>30000</v>
      </c>
      <c r="C100" s="20">
        <v>39000</v>
      </c>
      <c r="D100" s="20">
        <v>28100</v>
      </c>
      <c r="E100" s="20">
        <v>50500</v>
      </c>
      <c r="F100" s="20">
        <v>60300</v>
      </c>
      <c r="G100" s="14">
        <f t="shared" si="9"/>
        <v>2.3890784982935065E-2</v>
      </c>
      <c r="H100" s="14">
        <f t="shared" si="10"/>
        <v>3.4482758620689724E-2</v>
      </c>
      <c r="I100" s="14">
        <f t="shared" si="11"/>
        <v>-3.5460992907800915E-3</v>
      </c>
      <c r="J100" s="14">
        <f t="shared" si="12"/>
        <v>0</v>
      </c>
      <c r="K100" s="14">
        <f t="shared" si="13"/>
        <v>2.2033898305084731E-2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5">
      <c r="A101" s="12">
        <v>44848</v>
      </c>
      <c r="B101" s="20">
        <v>29300</v>
      </c>
      <c r="C101" s="20">
        <v>37700</v>
      </c>
      <c r="D101" s="20">
        <v>28200</v>
      </c>
      <c r="E101" s="20">
        <v>50500</v>
      </c>
      <c r="F101" s="20">
        <v>59000</v>
      </c>
      <c r="G101" s="14">
        <f t="shared" si="9"/>
        <v>2.0905923344947785E-2</v>
      </c>
      <c r="H101" s="14">
        <f t="shared" si="10"/>
        <v>2.4456521739130377E-2</v>
      </c>
      <c r="I101" s="14">
        <f t="shared" si="11"/>
        <v>-2.083333333333337E-2</v>
      </c>
      <c r="J101" s="14">
        <f t="shared" si="12"/>
        <v>-1.3671875E-2</v>
      </c>
      <c r="K101" s="14">
        <f t="shared" si="13"/>
        <v>-2.960526315789469E-2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5">
      <c r="A102" s="12">
        <v>44847</v>
      </c>
      <c r="B102" s="20">
        <v>28700</v>
      </c>
      <c r="C102" s="20">
        <v>36800</v>
      </c>
      <c r="D102" s="20">
        <v>28800</v>
      </c>
      <c r="E102" s="20">
        <v>51200</v>
      </c>
      <c r="F102" s="20">
        <v>60800</v>
      </c>
      <c r="G102" s="14">
        <f t="shared" si="9"/>
        <v>-2.0477815699658675E-2</v>
      </c>
      <c r="H102" s="14">
        <f t="shared" si="10"/>
        <v>5.464480874316946E-3</v>
      </c>
      <c r="I102" s="14">
        <f t="shared" si="11"/>
        <v>-1.7064846416382284E-2</v>
      </c>
      <c r="J102" s="14">
        <f t="shared" si="12"/>
        <v>1.9569471624265589E-3</v>
      </c>
      <c r="K102" s="14">
        <f t="shared" si="13"/>
        <v>1.3333333333333419E-2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5">
      <c r="A103" s="12">
        <v>44846</v>
      </c>
      <c r="B103" s="20">
        <v>29300</v>
      </c>
      <c r="C103" s="20">
        <v>36600</v>
      </c>
      <c r="D103" s="20">
        <v>29300</v>
      </c>
      <c r="E103" s="20">
        <v>51100</v>
      </c>
      <c r="F103" s="20">
        <v>60000</v>
      </c>
      <c r="G103" s="14">
        <f t="shared" si="9"/>
        <v>3.900709219858145E-2</v>
      </c>
      <c r="H103" s="14">
        <f t="shared" si="10"/>
        <v>-2.7247956403270157E-3</v>
      </c>
      <c r="I103" s="14">
        <f t="shared" si="11"/>
        <v>3.900709219858145E-2</v>
      </c>
      <c r="J103" s="14">
        <f t="shared" si="12"/>
        <v>1.9607843137254832E-3</v>
      </c>
      <c r="K103" s="14">
        <f t="shared" si="13"/>
        <v>-1.1532125205930832E-2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5">
      <c r="A104" s="12">
        <v>44845</v>
      </c>
      <c r="B104" s="20">
        <v>28200</v>
      </c>
      <c r="C104" s="20">
        <v>36700</v>
      </c>
      <c r="D104" s="20">
        <v>28200</v>
      </c>
      <c r="E104" s="20">
        <v>51000</v>
      </c>
      <c r="F104" s="20">
        <v>60700</v>
      </c>
      <c r="G104" s="14">
        <f t="shared" si="9"/>
        <v>4.8327137546468446E-2</v>
      </c>
      <c r="H104" s="14">
        <f t="shared" si="10"/>
        <v>2.732240437158362E-3</v>
      </c>
      <c r="I104" s="14">
        <f t="shared" si="11"/>
        <v>3.2967032967033072E-2</v>
      </c>
      <c r="J104" s="14">
        <f t="shared" si="12"/>
        <v>1.3916500994035852E-2</v>
      </c>
      <c r="K104" s="14">
        <f t="shared" si="13"/>
        <v>4.8359240069084652E-2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5">
      <c r="A105" s="12">
        <v>44844</v>
      </c>
      <c r="B105" s="20">
        <v>26900</v>
      </c>
      <c r="C105" s="20">
        <v>36600</v>
      </c>
      <c r="D105" s="20">
        <v>27300</v>
      </c>
      <c r="E105" s="20">
        <v>50300</v>
      </c>
      <c r="F105" s="20">
        <v>57900</v>
      </c>
      <c r="G105" s="14">
        <f t="shared" si="9"/>
        <v>-5.2816901408450745E-2</v>
      </c>
      <c r="H105" s="14">
        <f t="shared" si="10"/>
        <v>6.8613138686131281E-2</v>
      </c>
      <c r="I105" s="14">
        <f t="shared" si="11"/>
        <v>-1.4440433212996373E-2</v>
      </c>
      <c r="J105" s="14">
        <f t="shared" si="12"/>
        <v>1.4112903225806495E-2</v>
      </c>
      <c r="K105" s="14">
        <f t="shared" si="13"/>
        <v>-1.7241379310344307E-3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5">
      <c r="A106" s="12">
        <v>44841</v>
      </c>
      <c r="B106" s="20">
        <v>28400</v>
      </c>
      <c r="C106" s="20">
        <v>34250</v>
      </c>
      <c r="D106" s="20">
        <v>27700</v>
      </c>
      <c r="E106" s="20">
        <v>49600</v>
      </c>
      <c r="F106" s="20">
        <v>58000</v>
      </c>
      <c r="G106" s="14">
        <f t="shared" si="9"/>
        <v>5.1851851851851816E-2</v>
      </c>
      <c r="H106" s="14">
        <f t="shared" si="10"/>
        <v>1.4619883040936088E-3</v>
      </c>
      <c r="I106" s="14">
        <f t="shared" si="11"/>
        <v>9.486166007905128E-2</v>
      </c>
      <c r="J106" s="14">
        <f t="shared" si="12"/>
        <v>-4.0160642570281624E-3</v>
      </c>
      <c r="K106" s="14">
        <f t="shared" si="13"/>
        <v>1.221640488656206E-2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5">
      <c r="A107" s="12">
        <v>44840</v>
      </c>
      <c r="B107" s="20">
        <v>27000</v>
      </c>
      <c r="C107" s="20">
        <v>34200</v>
      </c>
      <c r="D107" s="20">
        <v>25300</v>
      </c>
      <c r="E107" s="20">
        <v>49800</v>
      </c>
      <c r="F107" s="20">
        <v>57300</v>
      </c>
      <c r="G107" s="14">
        <f t="shared" si="9"/>
        <v>-9.9999999999999978E-2</v>
      </c>
      <c r="H107" s="14">
        <f t="shared" si="10"/>
        <v>-3.1161473087818692E-2</v>
      </c>
      <c r="I107" s="14">
        <f t="shared" si="11"/>
        <v>-9.3189964157706084E-2</v>
      </c>
      <c r="J107" s="14">
        <f t="shared" si="12"/>
        <v>0</v>
      </c>
      <c r="K107" s="14">
        <f t="shared" si="13"/>
        <v>-5.2083333333333703E-3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5">
      <c r="A108" s="12">
        <v>44839</v>
      </c>
      <c r="B108" s="20">
        <v>30000</v>
      </c>
      <c r="C108" s="20">
        <v>35300</v>
      </c>
      <c r="D108" s="20">
        <v>27900</v>
      </c>
      <c r="E108" s="20">
        <v>49800</v>
      </c>
      <c r="F108" s="20">
        <v>57600</v>
      </c>
      <c r="G108" s="14">
        <f t="shared" si="9"/>
        <v>1.0101010101010166E-2</v>
      </c>
      <c r="H108" s="14">
        <f t="shared" si="10"/>
        <v>2.0231213872832443E-2</v>
      </c>
      <c r="I108" s="14">
        <f t="shared" si="11"/>
        <v>-9.7087378640776656E-2</v>
      </c>
      <c r="J108" s="14">
        <f t="shared" si="12"/>
        <v>1.4256619144602745E-2</v>
      </c>
      <c r="K108" s="14">
        <f t="shared" si="13"/>
        <v>-5.1813471502590858E-3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5">
      <c r="A109" s="12">
        <v>44838</v>
      </c>
      <c r="B109" s="20">
        <v>29700</v>
      </c>
      <c r="C109" s="20">
        <v>34600</v>
      </c>
      <c r="D109" s="20">
        <v>30900</v>
      </c>
      <c r="E109" s="20">
        <v>49100</v>
      </c>
      <c r="F109" s="20">
        <v>57900</v>
      </c>
      <c r="G109" s="14">
        <f t="shared" si="9"/>
        <v>0.10000000000000009</v>
      </c>
      <c r="H109" s="14">
        <f t="shared" si="10"/>
        <v>4.5317220543806602E-2</v>
      </c>
      <c r="I109" s="14">
        <f t="shared" si="11"/>
        <v>-3.1347962382445194E-2</v>
      </c>
      <c r="J109" s="14">
        <f t="shared" si="12"/>
        <v>2.2916666666666696E-2</v>
      </c>
      <c r="K109" s="14">
        <f t="shared" si="13"/>
        <v>-1.5306122448979553E-2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5">
      <c r="A110" s="12">
        <v>44837</v>
      </c>
      <c r="B110" s="20">
        <v>27000</v>
      </c>
      <c r="C110" s="20">
        <v>33100</v>
      </c>
      <c r="D110" s="20">
        <v>31900</v>
      </c>
      <c r="E110" s="20">
        <v>48000</v>
      </c>
      <c r="F110" s="20">
        <v>58800</v>
      </c>
      <c r="G110" s="14">
        <f t="shared" si="9"/>
        <v>-1.4598540145985384E-2</v>
      </c>
      <c r="H110" s="14">
        <f t="shared" si="10"/>
        <v>3.4375000000000044E-2</v>
      </c>
      <c r="I110" s="14">
        <f t="shared" si="11"/>
        <v>3.9087947882736174E-2</v>
      </c>
      <c r="J110" s="14">
        <f t="shared" si="12"/>
        <v>1.0427528675704956E-3</v>
      </c>
      <c r="K110" s="14">
        <f t="shared" si="13"/>
        <v>3.7037037037036979E-2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5">
      <c r="A111" s="12">
        <v>44834</v>
      </c>
      <c r="B111" s="20">
        <v>27400</v>
      </c>
      <c r="C111" s="20">
        <v>32000</v>
      </c>
      <c r="D111" s="20">
        <v>30700</v>
      </c>
      <c r="E111" s="20">
        <v>47950</v>
      </c>
      <c r="F111" s="20">
        <v>56700</v>
      </c>
      <c r="G111" s="14">
        <f t="shared" si="9"/>
        <v>3.7878787878787845E-2</v>
      </c>
      <c r="H111" s="14">
        <f t="shared" si="10"/>
        <v>-1.2345679012345734E-2</v>
      </c>
      <c r="I111" s="14">
        <f t="shared" si="11"/>
        <v>3.716216216216206E-2</v>
      </c>
      <c r="J111" s="14">
        <f t="shared" si="12"/>
        <v>-5.1867219917012264E-3</v>
      </c>
      <c r="K111" s="14">
        <f t="shared" si="13"/>
        <v>6.9811320754717077E-2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5">
      <c r="A112" s="12">
        <v>44833</v>
      </c>
      <c r="B112" s="20">
        <v>26400</v>
      </c>
      <c r="C112" s="20">
        <v>32400</v>
      </c>
      <c r="D112" s="20">
        <v>29600</v>
      </c>
      <c r="E112" s="20">
        <v>48200</v>
      </c>
      <c r="F112" s="20">
        <v>53000</v>
      </c>
      <c r="G112" s="14">
        <f t="shared" si="9"/>
        <v>2.3255813953488413E-2</v>
      </c>
      <c r="H112" s="14">
        <f t="shared" si="10"/>
        <v>-1.2195121951219523E-2</v>
      </c>
      <c r="I112" s="14">
        <f t="shared" si="11"/>
        <v>3.4965034965035002E-2</v>
      </c>
      <c r="J112" s="14">
        <f t="shared" si="12"/>
        <v>-8.2304526748970819E-3</v>
      </c>
      <c r="K112" s="14">
        <f t="shared" si="13"/>
        <v>-5.1878354203935606E-2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5">
      <c r="A113" s="12">
        <v>44832</v>
      </c>
      <c r="B113" s="20">
        <v>25800</v>
      </c>
      <c r="C113" s="20">
        <v>32800</v>
      </c>
      <c r="D113" s="20">
        <v>28600</v>
      </c>
      <c r="E113" s="20">
        <v>48600</v>
      </c>
      <c r="F113" s="20">
        <v>55900</v>
      </c>
      <c r="G113" s="14">
        <f t="shared" si="9"/>
        <v>9.7872340425531945E-2</v>
      </c>
      <c r="H113" s="14">
        <f t="shared" si="10"/>
        <v>-1.9431988041853532E-2</v>
      </c>
      <c r="I113" s="14">
        <f t="shared" si="11"/>
        <v>0.10000000000000009</v>
      </c>
      <c r="J113" s="14">
        <f t="shared" si="12"/>
        <v>3.0959752321981782E-3</v>
      </c>
      <c r="K113" s="14">
        <f t="shared" si="13"/>
        <v>-6.0504201680672276E-2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5">
      <c r="A114" s="12">
        <v>44831</v>
      </c>
      <c r="B114" s="20">
        <v>23500</v>
      </c>
      <c r="C114" s="20">
        <v>33450</v>
      </c>
      <c r="D114" s="20">
        <v>26000</v>
      </c>
      <c r="E114" s="20">
        <v>48450</v>
      </c>
      <c r="F114" s="20">
        <v>59500</v>
      </c>
      <c r="G114" s="14">
        <f t="shared" si="9"/>
        <v>6.8181818181818121E-2</v>
      </c>
      <c r="H114" s="14">
        <f t="shared" si="10"/>
        <v>0</v>
      </c>
      <c r="I114" s="14">
        <f t="shared" si="11"/>
        <v>9.704641350210963E-2</v>
      </c>
      <c r="J114" s="14">
        <f t="shared" si="12"/>
        <v>-5.1334702258727383E-3</v>
      </c>
      <c r="K114" s="14">
        <f t="shared" si="13"/>
        <v>1.7094017094017033E-2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5">
      <c r="A115" s="12">
        <v>44830</v>
      </c>
      <c r="B115" s="20">
        <v>22000</v>
      </c>
      <c r="C115" s="20">
        <v>33450</v>
      </c>
      <c r="D115" s="20">
        <v>23700</v>
      </c>
      <c r="E115" s="20">
        <v>48700</v>
      </c>
      <c r="F115" s="20">
        <v>58500</v>
      </c>
      <c r="G115" s="14">
        <f t="shared" si="9"/>
        <v>-2.6548672566371723E-2</v>
      </c>
      <c r="H115" s="14">
        <f t="shared" si="10"/>
        <v>0</v>
      </c>
      <c r="I115" s="14">
        <f t="shared" si="11"/>
        <v>-2.8688524590163911E-2</v>
      </c>
      <c r="J115" s="14">
        <f t="shared" si="12"/>
        <v>-6.1224489795917991E-3</v>
      </c>
      <c r="K115" s="14">
        <f t="shared" si="13"/>
        <v>-3.14569536423841E-2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5">
      <c r="A116" s="12">
        <v>44827</v>
      </c>
      <c r="B116" s="20">
        <v>22600</v>
      </c>
      <c r="C116" s="20">
        <v>33450</v>
      </c>
      <c r="D116" s="20">
        <v>24400</v>
      </c>
      <c r="E116" s="20">
        <v>49000</v>
      </c>
      <c r="F116" s="20">
        <v>60400</v>
      </c>
      <c r="G116" s="14">
        <f t="shared" si="9"/>
        <v>-4.405286343612369E-3</v>
      </c>
      <c r="H116" s="14">
        <f t="shared" si="10"/>
        <v>-1.4925373134327957E-3</v>
      </c>
      <c r="I116" s="14">
        <f t="shared" si="11"/>
        <v>8.2644628099173278E-3</v>
      </c>
      <c r="J116" s="14">
        <f t="shared" si="12"/>
        <v>6.1601642710471527E-3</v>
      </c>
      <c r="K116" s="14">
        <f t="shared" si="13"/>
        <v>-3.3599999999999963E-2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5">
      <c r="A117" s="12">
        <v>44826</v>
      </c>
      <c r="B117" s="20">
        <v>22700</v>
      </c>
      <c r="C117" s="20">
        <v>33500</v>
      </c>
      <c r="D117" s="20">
        <v>24200</v>
      </c>
      <c r="E117" s="20">
        <v>48700</v>
      </c>
      <c r="F117" s="20">
        <v>62500</v>
      </c>
      <c r="G117" s="14">
        <f t="shared" si="9"/>
        <v>3.6529680365296802E-2</v>
      </c>
      <c r="H117" s="14">
        <f t="shared" si="10"/>
        <v>-8.8757396449704595E-3</v>
      </c>
      <c r="I117" s="14">
        <f t="shared" si="11"/>
        <v>6.1403508771929793E-2</v>
      </c>
      <c r="J117" s="14">
        <f t="shared" si="12"/>
        <v>4.1237113402061709E-3</v>
      </c>
      <c r="K117" s="14">
        <f t="shared" si="13"/>
        <v>3.2102728731941976E-3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5">
      <c r="A118" s="12">
        <v>44825</v>
      </c>
      <c r="B118" s="20">
        <v>21900</v>
      </c>
      <c r="C118" s="20">
        <v>33800</v>
      </c>
      <c r="D118" s="20">
        <v>22800</v>
      </c>
      <c r="E118" s="20">
        <v>48500</v>
      </c>
      <c r="F118" s="20">
        <v>62300</v>
      </c>
      <c r="G118" s="14">
        <f t="shared" si="9"/>
        <v>3.7914691943127909E-2</v>
      </c>
      <c r="H118" s="14">
        <f t="shared" si="10"/>
        <v>5.9523809523809312E-3</v>
      </c>
      <c r="I118" s="14">
        <f t="shared" si="11"/>
        <v>8.8495575221239076E-3</v>
      </c>
      <c r="J118" s="14">
        <f t="shared" si="12"/>
        <v>1.8907563025210017E-2</v>
      </c>
      <c r="K118" s="14">
        <f t="shared" si="13"/>
        <v>6.8610634648370583E-2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5">
      <c r="A119" s="12">
        <v>44824</v>
      </c>
      <c r="B119" s="20">
        <v>21100</v>
      </c>
      <c r="C119" s="20">
        <v>33600</v>
      </c>
      <c r="D119" s="20">
        <v>22600</v>
      </c>
      <c r="E119" s="20">
        <v>47600</v>
      </c>
      <c r="F119" s="20">
        <v>58300</v>
      </c>
      <c r="G119" s="14">
        <f t="shared" si="9"/>
        <v>1.4423076923076872E-2</v>
      </c>
      <c r="H119" s="14">
        <f t="shared" si="10"/>
        <v>4.6728971962616717E-2</v>
      </c>
      <c r="I119" s="14">
        <f t="shared" si="11"/>
        <v>-4.405286343612369E-3</v>
      </c>
      <c r="J119" s="14">
        <f t="shared" si="12"/>
        <v>2.1052631578948322E-3</v>
      </c>
      <c r="K119" s="14">
        <f t="shared" si="13"/>
        <v>-6.8690095846645316E-2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5">
      <c r="A120" s="12">
        <v>44823</v>
      </c>
      <c r="B120" s="20">
        <v>20800</v>
      </c>
      <c r="C120" s="20">
        <v>32100</v>
      </c>
      <c r="D120" s="20">
        <v>22700</v>
      </c>
      <c r="E120" s="20">
        <v>47500</v>
      </c>
      <c r="F120" s="20">
        <v>62600</v>
      </c>
      <c r="G120" s="14">
        <f t="shared" si="9"/>
        <v>-2.3474178403755874E-2</v>
      </c>
      <c r="H120" s="14">
        <f t="shared" si="10"/>
        <v>-9.2592592592593004E-3</v>
      </c>
      <c r="I120" s="14">
        <f t="shared" si="11"/>
        <v>6.0747663551401931E-2</v>
      </c>
      <c r="J120" s="14">
        <f t="shared" si="12"/>
        <v>6.3559322033899246E-3</v>
      </c>
      <c r="K120" s="14">
        <f t="shared" si="13"/>
        <v>-6.1469265367316339E-2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5">
      <c r="A121" s="12">
        <v>44820</v>
      </c>
      <c r="B121" s="20">
        <v>21300</v>
      </c>
      <c r="C121" s="20">
        <v>32400</v>
      </c>
      <c r="D121" s="20">
        <v>21400</v>
      </c>
      <c r="E121" s="20">
        <v>47200</v>
      </c>
      <c r="F121" s="20">
        <v>66700</v>
      </c>
      <c r="G121" s="14">
        <f t="shared" si="9"/>
        <v>-2.2935779816513735E-2</v>
      </c>
      <c r="H121" s="14">
        <f t="shared" si="10"/>
        <v>0</v>
      </c>
      <c r="I121" s="14">
        <f t="shared" si="11"/>
        <v>2.3923444976076569E-2</v>
      </c>
      <c r="J121" s="14">
        <f t="shared" si="12"/>
        <v>8.5470085470085166E-3</v>
      </c>
      <c r="K121" s="14">
        <f t="shared" si="13"/>
        <v>-6.8435754189944187E-2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5">
      <c r="A122" s="12">
        <v>44819</v>
      </c>
      <c r="B122" s="20">
        <v>21800</v>
      </c>
      <c r="C122" s="20">
        <v>32400</v>
      </c>
      <c r="D122" s="20">
        <v>20900</v>
      </c>
      <c r="E122" s="20">
        <v>46800</v>
      </c>
      <c r="F122" s="20">
        <v>71600</v>
      </c>
      <c r="G122" s="14">
        <f t="shared" si="9"/>
        <v>3.8095238095238182E-2</v>
      </c>
      <c r="H122" s="14">
        <f t="shared" si="10"/>
        <v>0</v>
      </c>
      <c r="I122" s="14">
        <f t="shared" si="11"/>
        <v>-2.3364485981308358E-2</v>
      </c>
      <c r="J122" s="14">
        <f t="shared" si="12"/>
        <v>-4.2553191489361764E-3</v>
      </c>
      <c r="K122" s="14">
        <f t="shared" si="13"/>
        <v>-3.2432432432432434E-2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5">
      <c r="A123" s="12">
        <v>44818</v>
      </c>
      <c r="B123" s="20">
        <v>21000</v>
      </c>
      <c r="C123" s="20">
        <v>32400</v>
      </c>
      <c r="D123" s="20">
        <v>21400</v>
      </c>
      <c r="E123" s="20">
        <v>47000</v>
      </c>
      <c r="F123" s="20">
        <v>74000</v>
      </c>
      <c r="G123" s="14">
        <f t="shared" si="9"/>
        <v>-2.3255813953488413E-2</v>
      </c>
      <c r="H123" s="14">
        <f t="shared" si="10"/>
        <v>1.0920436817472678E-2</v>
      </c>
      <c r="I123" s="14">
        <f t="shared" si="11"/>
        <v>-9.2592592592593004E-3</v>
      </c>
      <c r="J123" s="14">
        <f t="shared" si="12"/>
        <v>-4.237288135593209E-3</v>
      </c>
      <c r="K123" s="14">
        <f t="shared" si="13"/>
        <v>-5.8524173027989845E-2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5">
      <c r="A124" s="12">
        <v>44817</v>
      </c>
      <c r="B124" s="20">
        <v>21500</v>
      </c>
      <c r="C124" s="20">
        <v>32050</v>
      </c>
      <c r="D124" s="20">
        <v>21600</v>
      </c>
      <c r="E124" s="20">
        <v>47200</v>
      </c>
      <c r="F124" s="20">
        <v>78600</v>
      </c>
      <c r="G124" s="14">
        <f t="shared" si="9"/>
        <v>-9.2165898617511122E-3</v>
      </c>
      <c r="H124" s="14">
        <f t="shared" si="10"/>
        <v>1.5624999999999112E-3</v>
      </c>
      <c r="I124" s="14">
        <f t="shared" si="11"/>
        <v>-9.1743119266054496E-3</v>
      </c>
      <c r="J124" s="14">
        <f t="shared" si="12"/>
        <v>-6.3157894736841635E-3</v>
      </c>
      <c r="K124" s="14">
        <f t="shared" si="13"/>
        <v>-1.749999999999996E-2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5">
      <c r="A125" s="12">
        <v>44816</v>
      </c>
      <c r="B125" s="20">
        <v>21700</v>
      </c>
      <c r="C125" s="20">
        <v>32000</v>
      </c>
      <c r="D125" s="20">
        <v>21800</v>
      </c>
      <c r="E125" s="20">
        <v>47500</v>
      </c>
      <c r="F125" s="20">
        <v>80000</v>
      </c>
      <c r="G125" s="14">
        <f t="shared" si="9"/>
        <v>-2.2522522522522515E-2</v>
      </c>
      <c r="H125" s="14">
        <f t="shared" si="10"/>
        <v>0</v>
      </c>
      <c r="I125" s="14">
        <f t="shared" si="11"/>
        <v>-1.3574660633484115E-2</v>
      </c>
      <c r="J125" s="14">
        <f t="shared" si="12"/>
        <v>8.4925690021231404E-3</v>
      </c>
      <c r="K125" s="14">
        <f t="shared" si="13"/>
        <v>2.5062656641603454E-3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5">
      <c r="A126" s="12">
        <v>44813</v>
      </c>
      <c r="B126" s="20">
        <v>22200</v>
      </c>
      <c r="C126" s="20">
        <v>32000</v>
      </c>
      <c r="D126" s="20">
        <v>22100</v>
      </c>
      <c r="E126" s="20">
        <v>47100</v>
      </c>
      <c r="F126" s="20">
        <v>79800</v>
      </c>
      <c r="G126" s="14">
        <f t="shared" si="9"/>
        <v>3.2558139534883734E-2</v>
      </c>
      <c r="H126" s="14">
        <f t="shared" si="10"/>
        <v>2.564102564102555E-2</v>
      </c>
      <c r="I126" s="14">
        <f t="shared" si="11"/>
        <v>1.8433179723502224E-2</v>
      </c>
      <c r="J126" s="14">
        <f t="shared" si="12"/>
        <v>1.5086206896551824E-2</v>
      </c>
      <c r="K126" s="14">
        <f t="shared" si="13"/>
        <v>5.1383399209486091E-2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5">
      <c r="A127" s="12">
        <v>44812</v>
      </c>
      <c r="B127" s="20">
        <v>21500</v>
      </c>
      <c r="C127" s="20">
        <v>31200</v>
      </c>
      <c r="D127" s="20">
        <v>21700</v>
      </c>
      <c r="E127" s="20">
        <v>46400</v>
      </c>
      <c r="F127" s="20">
        <v>75900</v>
      </c>
      <c r="G127" s="14">
        <f t="shared" si="9"/>
        <v>1.4150943396226356E-2</v>
      </c>
      <c r="H127" s="14">
        <f t="shared" si="10"/>
        <v>3.215434083601254E-3</v>
      </c>
      <c r="I127" s="14">
        <f t="shared" si="11"/>
        <v>4.6296296296295392E-3</v>
      </c>
      <c r="J127" s="14">
        <f t="shared" si="12"/>
        <v>1.8660812294182261E-2</v>
      </c>
      <c r="K127" s="14">
        <f t="shared" si="13"/>
        <v>-1.3157894736841591E-3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5">
      <c r="A128" s="12">
        <v>44811</v>
      </c>
      <c r="B128" s="20">
        <v>21200</v>
      </c>
      <c r="C128" s="20">
        <v>31100</v>
      </c>
      <c r="D128" s="20">
        <v>21600</v>
      </c>
      <c r="E128" s="20">
        <v>45550</v>
      </c>
      <c r="F128" s="20">
        <v>76000</v>
      </c>
      <c r="G128" s="14">
        <f t="shared" si="9"/>
        <v>2.9126213592232997E-2</v>
      </c>
      <c r="H128" s="14">
        <f t="shared" si="10"/>
        <v>0</v>
      </c>
      <c r="I128" s="14">
        <f t="shared" si="11"/>
        <v>4.8543689320388328E-2</v>
      </c>
      <c r="J128" s="14">
        <f t="shared" si="12"/>
        <v>-2.1905805038334725E-3</v>
      </c>
      <c r="K128" s="14">
        <f t="shared" si="13"/>
        <v>6.6225165562914245E-3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5">
      <c r="A129" s="12">
        <v>44810</v>
      </c>
      <c r="B129" s="20">
        <v>20600</v>
      </c>
      <c r="C129" s="20">
        <v>31100</v>
      </c>
      <c r="D129" s="20">
        <v>20600</v>
      </c>
      <c r="E129" s="20">
        <v>45650</v>
      </c>
      <c r="F129" s="20">
        <v>75500</v>
      </c>
      <c r="G129" s="14">
        <f t="shared" si="9"/>
        <v>-2.3696682464454999E-2</v>
      </c>
      <c r="H129" s="14">
        <f t="shared" si="10"/>
        <v>-1.1128775834658211E-2</v>
      </c>
      <c r="I129" s="14">
        <f t="shared" si="11"/>
        <v>-2.3696682464454999E-2</v>
      </c>
      <c r="J129" s="14">
        <f t="shared" si="12"/>
        <v>0</v>
      </c>
      <c r="K129" s="14">
        <f t="shared" si="13"/>
        <v>-1.0484927916120546E-2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5">
      <c r="A130" s="12">
        <v>44809</v>
      </c>
      <c r="B130" s="20">
        <v>21100</v>
      </c>
      <c r="C130" s="20">
        <v>31450</v>
      </c>
      <c r="D130" s="20">
        <v>21100</v>
      </c>
      <c r="E130" s="20">
        <v>45650</v>
      </c>
      <c r="F130" s="20">
        <v>76300</v>
      </c>
      <c r="G130" s="14">
        <f t="shared" si="9"/>
        <v>-2.314814814814814E-2</v>
      </c>
      <c r="H130" s="14">
        <f t="shared" si="10"/>
        <v>0</v>
      </c>
      <c r="I130" s="14">
        <f t="shared" si="11"/>
        <v>-4.7169811320755262E-3</v>
      </c>
      <c r="J130" s="14">
        <f t="shared" si="12"/>
        <v>1.0964912280702066E-3</v>
      </c>
      <c r="K130" s="14">
        <f t="shared" si="13"/>
        <v>-2.1794871794871828E-2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5">
      <c r="A131" s="12">
        <v>44804</v>
      </c>
      <c r="B131" s="20">
        <v>21600</v>
      </c>
      <c r="C131" s="20">
        <v>31450</v>
      </c>
      <c r="D131" s="20">
        <v>21200</v>
      </c>
      <c r="E131" s="20">
        <v>45600</v>
      </c>
      <c r="F131" s="20">
        <v>78000</v>
      </c>
      <c r="G131" s="14">
        <f t="shared" si="9"/>
        <v>9.6446700507614169E-2</v>
      </c>
      <c r="H131" s="14">
        <f t="shared" si="10"/>
        <v>9.6308186195825929E-3</v>
      </c>
      <c r="I131" s="14">
        <f t="shared" si="11"/>
        <v>3.9215686274509887E-2</v>
      </c>
      <c r="J131" s="14">
        <f t="shared" si="12"/>
        <v>1.4460511679644128E-2</v>
      </c>
      <c r="K131" s="14">
        <f t="shared" si="13"/>
        <v>-1.3906447534766109E-2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5">
      <c r="A132" s="12">
        <v>44803</v>
      </c>
      <c r="B132" s="20">
        <v>19700</v>
      </c>
      <c r="C132" s="20">
        <v>31150</v>
      </c>
      <c r="D132" s="20">
        <v>20400</v>
      </c>
      <c r="E132" s="20">
        <v>44950</v>
      </c>
      <c r="F132" s="20">
        <v>79100</v>
      </c>
      <c r="G132" s="14">
        <f t="shared" si="9"/>
        <v>-1.9900497512437831E-2</v>
      </c>
      <c r="H132" s="14">
        <f t="shared" si="10"/>
        <v>-1.4240506329113889E-2</v>
      </c>
      <c r="I132" s="14">
        <f t="shared" si="11"/>
        <v>-1.9230769230769273E-2</v>
      </c>
      <c r="J132" s="14">
        <f t="shared" si="12"/>
        <v>1.2387387387387427E-2</v>
      </c>
      <c r="K132" s="14">
        <f t="shared" si="13"/>
        <v>6.8918918918918992E-2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5">
      <c r="A133" s="12">
        <v>44802</v>
      </c>
      <c r="B133" s="20">
        <v>20100</v>
      </c>
      <c r="C133" s="20">
        <v>31600</v>
      </c>
      <c r="D133" s="20">
        <v>20800</v>
      </c>
      <c r="E133" s="20">
        <v>44400</v>
      </c>
      <c r="F133" s="20">
        <v>74000</v>
      </c>
      <c r="G133" s="14">
        <f t="shared" ref="G133:G196" si="14">B133/B134-1</f>
        <v>1.0050251256281451E-2</v>
      </c>
      <c r="H133" s="14">
        <f t="shared" ref="H133:H196" si="15">C133/C134-1</f>
        <v>1.9354838709677358E-2</v>
      </c>
      <c r="I133" s="14">
        <f t="shared" ref="I133:I196" si="16">D133/D134-1</f>
        <v>4.8309178743961567E-3</v>
      </c>
      <c r="J133" s="14">
        <f t="shared" ref="J133:J196" si="17">E133/E134-1</f>
        <v>-4.484304932735439E-3</v>
      </c>
      <c r="K133" s="14">
        <f t="shared" ref="K133:K196" si="18">F133/F134-1</f>
        <v>2.7777777777777679E-2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5">
      <c r="A134" s="12">
        <v>44799</v>
      </c>
      <c r="B134" s="20">
        <v>19900</v>
      </c>
      <c r="C134" s="20">
        <v>31000</v>
      </c>
      <c r="D134" s="20">
        <v>20700</v>
      </c>
      <c r="E134" s="20">
        <v>44600</v>
      </c>
      <c r="F134" s="20">
        <v>72000</v>
      </c>
      <c r="G134" s="14">
        <f t="shared" si="14"/>
        <v>2.5773195876288568E-2</v>
      </c>
      <c r="H134" s="14">
        <f t="shared" si="15"/>
        <v>2.3102310231023049E-2</v>
      </c>
      <c r="I134" s="14">
        <f t="shared" si="16"/>
        <v>3.499999999999992E-2</v>
      </c>
      <c r="J134" s="14">
        <f t="shared" si="17"/>
        <v>4.5045045045044585E-3</v>
      </c>
      <c r="K134" s="14">
        <f t="shared" si="18"/>
        <v>1.3908205841446364E-3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5">
      <c r="A135" s="12">
        <v>44798</v>
      </c>
      <c r="B135" s="20">
        <v>19400</v>
      </c>
      <c r="C135" s="20">
        <v>30300</v>
      </c>
      <c r="D135" s="20">
        <v>20000</v>
      </c>
      <c r="E135" s="20">
        <v>44400</v>
      </c>
      <c r="F135" s="20">
        <v>71900</v>
      </c>
      <c r="G135" s="14">
        <f t="shared" si="14"/>
        <v>0</v>
      </c>
      <c r="H135" s="14">
        <f t="shared" si="15"/>
        <v>-1.9417475728155331E-2</v>
      </c>
      <c r="I135" s="14">
        <f t="shared" si="16"/>
        <v>-1.4778325123152691E-2</v>
      </c>
      <c r="J135" s="14">
        <f t="shared" si="17"/>
        <v>9.0909090909090384E-3</v>
      </c>
      <c r="K135" s="14">
        <f t="shared" si="18"/>
        <v>1.9858156028368823E-2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5">
      <c r="A136" s="12">
        <v>44797</v>
      </c>
      <c r="B136" s="20">
        <v>19400</v>
      </c>
      <c r="C136" s="20">
        <v>30900</v>
      </c>
      <c r="D136" s="20">
        <v>20300</v>
      </c>
      <c r="E136" s="20">
        <v>44000</v>
      </c>
      <c r="F136" s="20">
        <v>70500</v>
      </c>
      <c r="G136" s="14">
        <f t="shared" si="14"/>
        <v>-8.4905660377358472E-2</v>
      </c>
      <c r="H136" s="14">
        <f t="shared" si="15"/>
        <v>-3.4375000000000044E-2</v>
      </c>
      <c r="I136" s="14">
        <f t="shared" si="16"/>
        <v>-5.1401869158878455E-2</v>
      </c>
      <c r="J136" s="14">
        <f t="shared" si="17"/>
        <v>-1.7857142857142905E-2</v>
      </c>
      <c r="K136" s="14">
        <f t="shared" si="18"/>
        <v>-2.7586206896551779E-2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5">
      <c r="A137" s="12">
        <v>44796</v>
      </c>
      <c r="B137" s="20">
        <v>21200</v>
      </c>
      <c r="C137" s="20">
        <v>32000</v>
      </c>
      <c r="D137" s="20">
        <v>21400</v>
      </c>
      <c r="E137" s="20">
        <v>44800</v>
      </c>
      <c r="F137" s="20">
        <v>72500</v>
      </c>
      <c r="G137" s="14">
        <f t="shared" si="14"/>
        <v>1.4354066985645897E-2</v>
      </c>
      <c r="H137" s="14">
        <f t="shared" si="15"/>
        <v>0</v>
      </c>
      <c r="I137" s="14">
        <f t="shared" si="16"/>
        <v>1.904761904761898E-2</v>
      </c>
      <c r="J137" s="14">
        <f t="shared" si="17"/>
        <v>6.741573033707926E-3</v>
      </c>
      <c r="K137" s="14">
        <f t="shared" si="18"/>
        <v>1.9690576652601877E-2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5">
      <c r="A138" s="12">
        <v>44795</v>
      </c>
      <c r="B138" s="20">
        <v>20900</v>
      </c>
      <c r="C138" s="20">
        <v>32000</v>
      </c>
      <c r="D138" s="20">
        <v>21000</v>
      </c>
      <c r="E138" s="20">
        <v>44500</v>
      </c>
      <c r="F138" s="20">
        <v>71100</v>
      </c>
      <c r="G138" s="14">
        <f t="shared" si="14"/>
        <v>-9.9137931034482762E-2</v>
      </c>
      <c r="H138" s="14">
        <f t="shared" si="15"/>
        <v>-4.1916167664670656E-2</v>
      </c>
      <c r="I138" s="14">
        <f t="shared" si="16"/>
        <v>-6.6666666666666652E-2</v>
      </c>
      <c r="J138" s="14">
        <f t="shared" si="17"/>
        <v>1.5981735159817267E-2</v>
      </c>
      <c r="K138" s="14">
        <f t="shared" si="18"/>
        <v>-1.2499999999999956E-2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5">
      <c r="A139" s="12">
        <v>44792</v>
      </c>
      <c r="B139" s="20">
        <v>23200</v>
      </c>
      <c r="C139" s="20">
        <v>33400</v>
      </c>
      <c r="D139" s="20">
        <v>22500</v>
      </c>
      <c r="E139" s="20">
        <v>43800</v>
      </c>
      <c r="F139" s="20">
        <v>72000</v>
      </c>
      <c r="G139" s="14">
        <f t="shared" si="14"/>
        <v>-4.2918454935622075E-3</v>
      </c>
      <c r="H139" s="14">
        <f t="shared" si="15"/>
        <v>7.541478129713397E-3</v>
      </c>
      <c r="I139" s="14">
        <f t="shared" si="16"/>
        <v>-3.0172413793103425E-2</v>
      </c>
      <c r="J139" s="14">
        <f t="shared" si="17"/>
        <v>1.1547344110854452E-2</v>
      </c>
      <c r="K139" s="14">
        <f t="shared" si="18"/>
        <v>-2.7027027027026973E-2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5">
      <c r="A140" s="12">
        <v>44791</v>
      </c>
      <c r="B140" s="20">
        <v>23300</v>
      </c>
      <c r="C140" s="20">
        <v>33150</v>
      </c>
      <c r="D140" s="20">
        <v>23200</v>
      </c>
      <c r="E140" s="20">
        <v>43300</v>
      </c>
      <c r="F140" s="20">
        <v>74000</v>
      </c>
      <c r="G140" s="14">
        <f t="shared" si="14"/>
        <v>-4.2735042735042583E-3</v>
      </c>
      <c r="H140" s="14">
        <f t="shared" si="15"/>
        <v>-1.0447761194029903E-2</v>
      </c>
      <c r="I140" s="14">
        <f t="shared" si="16"/>
        <v>2.2026431718061623E-2</v>
      </c>
      <c r="J140" s="14">
        <f t="shared" si="17"/>
        <v>5.807200929152101E-3</v>
      </c>
      <c r="K140" s="14">
        <f t="shared" si="18"/>
        <v>3.6414565826330625E-2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35">
      <c r="A141" s="12">
        <v>44790</v>
      </c>
      <c r="B141" s="20">
        <v>23400</v>
      </c>
      <c r="C141" s="20">
        <v>33500</v>
      </c>
      <c r="D141" s="20">
        <v>22700</v>
      </c>
      <c r="E141" s="20">
        <v>43050</v>
      </c>
      <c r="F141" s="20">
        <v>71400</v>
      </c>
      <c r="G141" s="14">
        <f t="shared" si="14"/>
        <v>-8.4745762711864181E-3</v>
      </c>
      <c r="H141" s="14">
        <f t="shared" si="15"/>
        <v>-1.9033674963396807E-2</v>
      </c>
      <c r="I141" s="14">
        <f t="shared" si="16"/>
        <v>-2.9914529914529919E-2</v>
      </c>
      <c r="J141" s="14">
        <f t="shared" si="17"/>
        <v>-2.317497103128674E-3</v>
      </c>
      <c r="K141" s="14">
        <f t="shared" si="18"/>
        <v>-8.3333333333333037E-3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35">
      <c r="A142" s="12">
        <v>44789</v>
      </c>
      <c r="B142" s="20">
        <v>23600</v>
      </c>
      <c r="C142" s="20">
        <v>34150</v>
      </c>
      <c r="D142" s="20">
        <v>23400</v>
      </c>
      <c r="E142" s="20">
        <v>43150</v>
      </c>
      <c r="F142" s="20">
        <v>72000</v>
      </c>
      <c r="G142" s="14">
        <f t="shared" si="14"/>
        <v>0</v>
      </c>
      <c r="H142" s="14">
        <f t="shared" si="15"/>
        <v>-1.0144927536231862E-2</v>
      </c>
      <c r="I142" s="14">
        <f t="shared" si="16"/>
        <v>-3.703703703703709E-2</v>
      </c>
      <c r="J142" s="14">
        <f t="shared" si="17"/>
        <v>1.5294117647058902E-2</v>
      </c>
      <c r="K142" s="14">
        <f t="shared" si="18"/>
        <v>-1.6393442622950838E-2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5">
      <c r="A143" s="12">
        <v>44788</v>
      </c>
      <c r="B143" s="20">
        <v>23600</v>
      </c>
      <c r="C143" s="20">
        <v>34500</v>
      </c>
      <c r="D143" s="20">
        <v>24300</v>
      </c>
      <c r="E143" s="20">
        <v>42500</v>
      </c>
      <c r="F143" s="20">
        <v>73200</v>
      </c>
      <c r="G143" s="14">
        <f t="shared" si="14"/>
        <v>2.1645021645021689E-2</v>
      </c>
      <c r="H143" s="14">
        <f t="shared" si="15"/>
        <v>0</v>
      </c>
      <c r="I143" s="14">
        <f t="shared" si="16"/>
        <v>0</v>
      </c>
      <c r="J143" s="14">
        <f t="shared" si="17"/>
        <v>1.7964071856287456E-2</v>
      </c>
      <c r="K143" s="14">
        <f t="shared" si="18"/>
        <v>2.2346368715083775E-2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5">
      <c r="A144" s="12">
        <v>44785</v>
      </c>
      <c r="B144" s="20">
        <v>23100</v>
      </c>
      <c r="C144" s="20">
        <v>34500</v>
      </c>
      <c r="D144" s="20">
        <v>24300</v>
      </c>
      <c r="E144" s="20">
        <v>41750</v>
      </c>
      <c r="F144" s="20">
        <v>71600</v>
      </c>
      <c r="G144" s="14">
        <f t="shared" si="14"/>
        <v>-2.1186440677966156E-2</v>
      </c>
      <c r="H144" s="14">
        <f t="shared" si="15"/>
        <v>-1.4285714285714235E-2</v>
      </c>
      <c r="I144" s="14">
        <f t="shared" si="16"/>
        <v>-4.705882352941182E-2</v>
      </c>
      <c r="J144" s="14">
        <f t="shared" si="17"/>
        <v>-1.1961722488038617E-3</v>
      </c>
      <c r="K144" s="14">
        <f t="shared" si="18"/>
        <v>-2.5850340136054473E-2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5">
      <c r="A145" s="12">
        <v>44784</v>
      </c>
      <c r="B145" s="20">
        <v>23600</v>
      </c>
      <c r="C145" s="20">
        <v>35000</v>
      </c>
      <c r="D145" s="20">
        <v>25500</v>
      </c>
      <c r="E145" s="20">
        <v>41800</v>
      </c>
      <c r="F145" s="20">
        <v>73500</v>
      </c>
      <c r="G145" s="14">
        <f t="shared" si="14"/>
        <v>-8.4033613445377853E-3</v>
      </c>
      <c r="H145" s="14">
        <f t="shared" si="15"/>
        <v>-9.9009900990099098E-3</v>
      </c>
      <c r="I145" s="14">
        <f t="shared" si="16"/>
        <v>3.937007874015741E-3</v>
      </c>
      <c r="J145" s="14">
        <f t="shared" si="17"/>
        <v>0</v>
      </c>
      <c r="K145" s="14">
        <f t="shared" si="18"/>
        <v>-1.0767160161507361E-2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35">
      <c r="A146" s="12">
        <v>44783</v>
      </c>
      <c r="B146" s="20">
        <v>23800</v>
      </c>
      <c r="C146" s="20">
        <v>35350</v>
      </c>
      <c r="D146" s="20">
        <v>25400</v>
      </c>
      <c r="E146" s="20">
        <v>41800</v>
      </c>
      <c r="F146" s="20">
        <v>74300</v>
      </c>
      <c r="G146" s="14">
        <f t="shared" si="14"/>
        <v>-8.3333333333333037E-3</v>
      </c>
      <c r="H146" s="14">
        <f t="shared" si="15"/>
        <v>-4.2253521126760507E-3</v>
      </c>
      <c r="I146" s="14">
        <f t="shared" si="16"/>
        <v>3.9525691699604515E-3</v>
      </c>
      <c r="J146" s="14">
        <f t="shared" si="17"/>
        <v>-8.3036773428232236E-3</v>
      </c>
      <c r="K146" s="14">
        <f t="shared" si="18"/>
        <v>-1.3440860215053752E-3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5">
      <c r="A147" s="12">
        <v>44782</v>
      </c>
      <c r="B147" s="20">
        <v>24000</v>
      </c>
      <c r="C147" s="20">
        <v>35500</v>
      </c>
      <c r="D147" s="20">
        <v>25300</v>
      </c>
      <c r="E147" s="20">
        <v>42150</v>
      </c>
      <c r="F147" s="20">
        <v>74400</v>
      </c>
      <c r="G147" s="14">
        <f t="shared" si="14"/>
        <v>0</v>
      </c>
      <c r="H147" s="14">
        <f t="shared" si="15"/>
        <v>7.0921985815601829E-3</v>
      </c>
      <c r="I147" s="14">
        <f t="shared" si="16"/>
        <v>1.2000000000000011E-2</v>
      </c>
      <c r="J147" s="14">
        <f t="shared" si="17"/>
        <v>1.200480192076836E-2</v>
      </c>
      <c r="K147" s="14">
        <f t="shared" si="18"/>
        <v>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5">
      <c r="A148" s="12">
        <v>44781</v>
      </c>
      <c r="B148" s="20">
        <v>24000</v>
      </c>
      <c r="C148" s="20">
        <v>35250</v>
      </c>
      <c r="D148" s="20">
        <v>25000</v>
      </c>
      <c r="E148" s="20">
        <v>41650</v>
      </c>
      <c r="F148" s="20">
        <v>74400</v>
      </c>
      <c r="G148" s="14">
        <f t="shared" si="14"/>
        <v>-1.2345679012345734E-2</v>
      </c>
      <c r="H148" s="14">
        <f t="shared" si="15"/>
        <v>1.4204545454545858E-3</v>
      </c>
      <c r="I148" s="14">
        <f t="shared" si="16"/>
        <v>2.8806584362139898E-2</v>
      </c>
      <c r="J148" s="14">
        <f t="shared" si="17"/>
        <v>-1.1990407673860837E-3</v>
      </c>
      <c r="K148" s="14">
        <f t="shared" si="18"/>
        <v>2.6206896551724146E-2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5">
      <c r="A149" s="12">
        <v>44778</v>
      </c>
      <c r="B149" s="20">
        <v>24300</v>
      </c>
      <c r="C149" s="20">
        <v>35200</v>
      </c>
      <c r="D149" s="20">
        <v>24300</v>
      </c>
      <c r="E149" s="20">
        <v>41700</v>
      </c>
      <c r="F149" s="20">
        <v>72500</v>
      </c>
      <c r="G149" s="14">
        <f t="shared" si="14"/>
        <v>3.8461538461538547E-2</v>
      </c>
      <c r="H149" s="14">
        <f t="shared" si="15"/>
        <v>0</v>
      </c>
      <c r="I149" s="14">
        <f t="shared" si="16"/>
        <v>-1.619433198380571E-2</v>
      </c>
      <c r="J149" s="14">
        <f t="shared" si="17"/>
        <v>-4.7732696897374582E-3</v>
      </c>
      <c r="K149" s="14">
        <f t="shared" si="18"/>
        <v>-1.2261580381471404E-2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5">
      <c r="A150" s="12">
        <v>44777</v>
      </c>
      <c r="B150" s="20">
        <v>23400</v>
      </c>
      <c r="C150" s="20">
        <v>35200</v>
      </c>
      <c r="D150" s="20">
        <v>24700</v>
      </c>
      <c r="E150" s="20">
        <v>41900</v>
      </c>
      <c r="F150" s="20">
        <v>73400</v>
      </c>
      <c r="G150" s="14">
        <f t="shared" si="14"/>
        <v>-8.4745762711864181E-3</v>
      </c>
      <c r="H150" s="14">
        <f t="shared" si="15"/>
        <v>-3.5616438356164348E-2</v>
      </c>
      <c r="I150" s="14">
        <f t="shared" si="16"/>
        <v>1.2295081967213184E-2</v>
      </c>
      <c r="J150" s="14">
        <f t="shared" si="17"/>
        <v>-5.9311981020165883E-3</v>
      </c>
      <c r="K150" s="14">
        <f t="shared" si="18"/>
        <v>-1.0781671159029615E-2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5">
      <c r="A151" s="12">
        <v>44776</v>
      </c>
      <c r="B151" s="20">
        <v>23600</v>
      </c>
      <c r="C151" s="20">
        <v>36500</v>
      </c>
      <c r="D151" s="20">
        <v>24400</v>
      </c>
      <c r="E151" s="20">
        <v>42150</v>
      </c>
      <c r="F151" s="20">
        <v>74200</v>
      </c>
      <c r="G151" s="14">
        <f t="shared" si="14"/>
        <v>-4.2194092827003704E-3</v>
      </c>
      <c r="H151" s="14">
        <f t="shared" si="15"/>
        <v>-4.0927694406548421E-3</v>
      </c>
      <c r="I151" s="14">
        <f t="shared" si="16"/>
        <v>4.115226337448652E-3</v>
      </c>
      <c r="J151" s="14">
        <f t="shared" si="17"/>
        <v>-7.0671378091873294E-3</v>
      </c>
      <c r="K151" s="14">
        <f t="shared" si="18"/>
        <v>1.6438356164383494E-2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5">
      <c r="A152" s="12">
        <v>44775</v>
      </c>
      <c r="B152" s="20">
        <v>23700</v>
      </c>
      <c r="C152" s="20">
        <v>36650</v>
      </c>
      <c r="D152" s="20">
        <v>24300</v>
      </c>
      <c r="E152" s="20">
        <v>42450</v>
      </c>
      <c r="F152" s="20">
        <v>73000</v>
      </c>
      <c r="G152" s="14">
        <f t="shared" si="14"/>
        <v>3.0434782608695699E-2</v>
      </c>
      <c r="H152" s="14">
        <f t="shared" si="15"/>
        <v>3.6775106082036713E-2</v>
      </c>
      <c r="I152" s="14">
        <f t="shared" si="16"/>
        <v>8.4821428571428603E-2</v>
      </c>
      <c r="J152" s="14">
        <f t="shared" si="17"/>
        <v>7.1174377224199059E-3</v>
      </c>
      <c r="K152" s="14">
        <f t="shared" si="18"/>
        <v>1.6713091922005541E-2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5">
      <c r="A153" s="12">
        <v>44774</v>
      </c>
      <c r="B153" s="20">
        <v>23000</v>
      </c>
      <c r="C153" s="20">
        <v>35350</v>
      </c>
      <c r="D153" s="20">
        <v>22400</v>
      </c>
      <c r="E153" s="20">
        <v>42150</v>
      </c>
      <c r="F153" s="20">
        <v>71800</v>
      </c>
      <c r="G153" s="14">
        <f t="shared" si="14"/>
        <v>8.7719298245614308E-3</v>
      </c>
      <c r="H153" s="14">
        <f t="shared" si="15"/>
        <v>-4.2253521126760507E-3</v>
      </c>
      <c r="I153" s="14">
        <f t="shared" si="16"/>
        <v>0</v>
      </c>
      <c r="J153" s="14">
        <f t="shared" si="17"/>
        <v>2.0581113801452888E-2</v>
      </c>
      <c r="K153" s="14">
        <f t="shared" si="18"/>
        <v>-4.1608876560332853E-3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5">
      <c r="A154" s="12">
        <v>44771</v>
      </c>
      <c r="B154" s="20">
        <v>22800</v>
      </c>
      <c r="C154" s="20">
        <v>35500</v>
      </c>
      <c r="D154" s="20">
        <v>22400</v>
      </c>
      <c r="E154" s="20">
        <v>41300</v>
      </c>
      <c r="F154" s="20">
        <v>72100</v>
      </c>
      <c r="G154" s="14">
        <f t="shared" si="14"/>
        <v>1.3333333333333419E-2</v>
      </c>
      <c r="H154" s="14">
        <f t="shared" si="15"/>
        <v>-2.8089887640448952E-3</v>
      </c>
      <c r="I154" s="14">
        <f t="shared" si="16"/>
        <v>9.009009009008917E-3</v>
      </c>
      <c r="J154" s="14">
        <f t="shared" si="17"/>
        <v>2.7363184079602032E-2</v>
      </c>
      <c r="K154" s="14">
        <f t="shared" si="18"/>
        <v>-6.8870523415978102E-3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5">
      <c r="A155" s="12">
        <v>44770</v>
      </c>
      <c r="B155" s="20">
        <v>22500</v>
      </c>
      <c r="C155" s="20">
        <v>35600</v>
      </c>
      <c r="D155" s="20">
        <v>22200</v>
      </c>
      <c r="E155" s="20">
        <v>40200</v>
      </c>
      <c r="F155" s="20">
        <v>72600</v>
      </c>
      <c r="G155" s="14">
        <f t="shared" si="14"/>
        <v>-8.8105726872246271E-3</v>
      </c>
      <c r="H155" s="14">
        <f t="shared" si="15"/>
        <v>1.4245014245014342E-2</v>
      </c>
      <c r="I155" s="14">
        <f t="shared" si="16"/>
        <v>9.0909090909090384E-3</v>
      </c>
      <c r="J155" s="14">
        <f t="shared" si="17"/>
        <v>2.4937655860348684E-3</v>
      </c>
      <c r="K155" s="14">
        <f t="shared" si="18"/>
        <v>5.2173913043478182E-2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5">
      <c r="A156" s="12">
        <v>44769</v>
      </c>
      <c r="B156" s="20">
        <v>22700</v>
      </c>
      <c r="C156" s="20">
        <v>35100</v>
      </c>
      <c r="D156" s="20">
        <v>22000</v>
      </c>
      <c r="E156" s="20">
        <v>40100</v>
      </c>
      <c r="F156" s="20">
        <v>69000</v>
      </c>
      <c r="G156" s="14">
        <f t="shared" si="14"/>
        <v>2.2522522522522515E-2</v>
      </c>
      <c r="H156" s="14">
        <f t="shared" si="15"/>
        <v>1.591895803183796E-2</v>
      </c>
      <c r="I156" s="14">
        <f t="shared" si="16"/>
        <v>2.8037383177569986E-2</v>
      </c>
      <c r="J156" s="14">
        <f t="shared" si="17"/>
        <v>-7.4257425742574323E-3</v>
      </c>
      <c r="K156" s="14">
        <f t="shared" si="18"/>
        <v>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5">
      <c r="A157" s="12">
        <v>44768</v>
      </c>
      <c r="B157" s="20">
        <v>22200</v>
      </c>
      <c r="C157" s="20">
        <v>34550</v>
      </c>
      <c r="D157" s="20">
        <v>21400</v>
      </c>
      <c r="E157" s="20">
        <v>40400</v>
      </c>
      <c r="F157" s="20">
        <v>69000</v>
      </c>
      <c r="G157" s="14">
        <f t="shared" si="14"/>
        <v>-2.2026431718061623E-2</v>
      </c>
      <c r="H157" s="14">
        <f t="shared" si="15"/>
        <v>4.3604651162789665E-3</v>
      </c>
      <c r="I157" s="14">
        <f t="shared" si="16"/>
        <v>-4.6511627906976605E-3</v>
      </c>
      <c r="J157" s="14">
        <f t="shared" si="17"/>
        <v>4.9751243781095411E-3</v>
      </c>
      <c r="K157" s="14">
        <f t="shared" si="18"/>
        <v>1.024890190336758E-2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5">
      <c r="A158" s="12">
        <v>44767</v>
      </c>
      <c r="B158" s="20">
        <v>22700</v>
      </c>
      <c r="C158" s="20">
        <v>34400</v>
      </c>
      <c r="D158" s="20">
        <v>21500</v>
      </c>
      <c r="E158" s="20">
        <v>40200</v>
      </c>
      <c r="F158" s="20">
        <v>68300</v>
      </c>
      <c r="G158" s="14">
        <f t="shared" si="14"/>
        <v>-2.9914529914529919E-2</v>
      </c>
      <c r="H158" s="14">
        <f t="shared" si="15"/>
        <v>-4.9723756906077332E-2</v>
      </c>
      <c r="I158" s="14">
        <f t="shared" si="16"/>
        <v>-3.5874439461883401E-2</v>
      </c>
      <c r="J158" s="14">
        <f t="shared" si="17"/>
        <v>-4.9504950495049549E-3</v>
      </c>
      <c r="K158" s="14">
        <f t="shared" si="18"/>
        <v>-7.2674418604651292E-3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5">
      <c r="A159" s="12">
        <v>44764</v>
      </c>
      <c r="B159" s="20">
        <v>23400</v>
      </c>
      <c r="C159" s="20">
        <v>36200</v>
      </c>
      <c r="D159" s="20">
        <v>22300</v>
      </c>
      <c r="E159" s="20">
        <v>40400</v>
      </c>
      <c r="F159" s="20">
        <v>68800</v>
      </c>
      <c r="G159" s="14">
        <f t="shared" si="14"/>
        <v>-1.6806722689075682E-2</v>
      </c>
      <c r="H159" s="14">
        <f t="shared" si="15"/>
        <v>4.1608876560332853E-3</v>
      </c>
      <c r="I159" s="14">
        <f t="shared" si="16"/>
        <v>-2.6200873362445365E-2</v>
      </c>
      <c r="J159" s="14">
        <f t="shared" si="17"/>
        <v>7.4812967581048273E-3</v>
      </c>
      <c r="K159" s="14">
        <f t="shared" si="18"/>
        <v>-7.2150072150072297E-3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5">
      <c r="A160" s="12">
        <v>44763</v>
      </c>
      <c r="B160" s="20">
        <v>23800</v>
      </c>
      <c r="C160" s="20">
        <v>36050</v>
      </c>
      <c r="D160" s="20">
        <v>22900</v>
      </c>
      <c r="E160" s="20">
        <v>40100</v>
      </c>
      <c r="F160" s="20">
        <v>69300</v>
      </c>
      <c r="G160" s="14">
        <f t="shared" si="14"/>
        <v>-4.1841004184099972E-3</v>
      </c>
      <c r="H160" s="14">
        <f t="shared" si="15"/>
        <v>-9.6153846153845812E-3</v>
      </c>
      <c r="I160" s="14">
        <f t="shared" si="16"/>
        <v>-1.2931034482758674E-2</v>
      </c>
      <c r="J160" s="14">
        <f t="shared" si="17"/>
        <v>3.084832904884327E-2</v>
      </c>
      <c r="K160" s="14">
        <f t="shared" si="18"/>
        <v>-1.1412268188302432E-2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5">
      <c r="A161" s="12">
        <v>44762</v>
      </c>
      <c r="B161" s="20">
        <v>23900</v>
      </c>
      <c r="C161" s="20">
        <v>36400</v>
      </c>
      <c r="D161" s="20">
        <v>23200</v>
      </c>
      <c r="E161" s="20">
        <v>38900</v>
      </c>
      <c r="F161" s="20">
        <v>70100</v>
      </c>
      <c r="G161" s="14">
        <f t="shared" si="14"/>
        <v>-1.2396694214875992E-2</v>
      </c>
      <c r="H161" s="14">
        <f t="shared" si="15"/>
        <v>-1.6216216216216162E-2</v>
      </c>
      <c r="I161" s="14">
        <f t="shared" si="16"/>
        <v>-8.5470085470085166E-3</v>
      </c>
      <c r="J161" s="14">
        <f t="shared" si="17"/>
        <v>-2.564102564102555E-3</v>
      </c>
      <c r="K161" s="14">
        <f t="shared" si="18"/>
        <v>-1.8207282913165312E-2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5">
      <c r="A162" s="12">
        <v>44761</v>
      </c>
      <c r="B162" s="20">
        <v>24200</v>
      </c>
      <c r="C162" s="20">
        <v>37000</v>
      </c>
      <c r="D162" s="20">
        <v>23400</v>
      </c>
      <c r="E162" s="20">
        <v>39000</v>
      </c>
      <c r="F162" s="20">
        <v>71400</v>
      </c>
      <c r="G162" s="14">
        <f t="shared" si="14"/>
        <v>-1.6260162601625994E-2</v>
      </c>
      <c r="H162" s="14">
        <f t="shared" si="15"/>
        <v>-9.3708165997322679E-3</v>
      </c>
      <c r="I162" s="14">
        <f t="shared" si="16"/>
        <v>2.1834061135371119E-2</v>
      </c>
      <c r="J162" s="14">
        <f t="shared" si="17"/>
        <v>2.5706940874035134E-3</v>
      </c>
      <c r="K162" s="14">
        <f t="shared" si="18"/>
        <v>-1.1080332409972304E-2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5">
      <c r="A163" s="12">
        <v>44760</v>
      </c>
      <c r="B163" s="20">
        <v>24600</v>
      </c>
      <c r="C163" s="20">
        <v>37350</v>
      </c>
      <c r="D163" s="20">
        <v>22900</v>
      </c>
      <c r="E163" s="20">
        <v>38900</v>
      </c>
      <c r="F163" s="20">
        <v>72200</v>
      </c>
      <c r="G163" s="14">
        <f t="shared" si="14"/>
        <v>3.7974683544303778E-2</v>
      </c>
      <c r="H163" s="14">
        <f t="shared" si="15"/>
        <v>-4.0000000000000036E-3</v>
      </c>
      <c r="I163" s="14">
        <f t="shared" si="16"/>
        <v>1.777777777777767E-2</v>
      </c>
      <c r="J163" s="14">
        <f t="shared" si="17"/>
        <v>0</v>
      </c>
      <c r="K163" s="14">
        <f t="shared" si="18"/>
        <v>1.833568406205921E-2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5">
      <c r="A164" s="12">
        <v>44757</v>
      </c>
      <c r="B164" s="20">
        <v>23700</v>
      </c>
      <c r="C164" s="20">
        <v>37500</v>
      </c>
      <c r="D164" s="20">
        <v>22500</v>
      </c>
      <c r="E164" s="20">
        <v>38900</v>
      </c>
      <c r="F164" s="20">
        <v>70900</v>
      </c>
      <c r="G164" s="14">
        <f t="shared" si="14"/>
        <v>-1.6597510373444035E-2</v>
      </c>
      <c r="H164" s="14">
        <f t="shared" si="15"/>
        <v>1.0781671159029615E-2</v>
      </c>
      <c r="I164" s="14">
        <f t="shared" si="16"/>
        <v>-3.0172413793103425E-2</v>
      </c>
      <c r="J164" s="14">
        <f t="shared" si="17"/>
        <v>1.5665796344647598E-2</v>
      </c>
      <c r="K164" s="14">
        <f t="shared" si="18"/>
        <v>-8.3916083916083517E-3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5">
      <c r="A165" s="12">
        <v>44756</v>
      </c>
      <c r="B165" s="20">
        <v>24100</v>
      </c>
      <c r="C165" s="20">
        <v>37100</v>
      </c>
      <c r="D165" s="20">
        <v>23200</v>
      </c>
      <c r="E165" s="20">
        <v>38300</v>
      </c>
      <c r="F165" s="20">
        <v>71500</v>
      </c>
      <c r="G165" s="14">
        <f t="shared" si="14"/>
        <v>-4.1322314049586639E-3</v>
      </c>
      <c r="H165" s="14">
        <f t="shared" si="15"/>
        <v>6.6091954022988508E-2</v>
      </c>
      <c r="I165" s="14">
        <f t="shared" si="16"/>
        <v>-8.5470085470085166E-3</v>
      </c>
      <c r="J165" s="14">
        <f t="shared" si="17"/>
        <v>-1.9206145966709331E-2</v>
      </c>
      <c r="K165" s="14">
        <f t="shared" si="18"/>
        <v>5.6258790436005679E-3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5">
      <c r="A166" s="12">
        <v>44755</v>
      </c>
      <c r="B166" s="20">
        <v>24200</v>
      </c>
      <c r="C166" s="20">
        <v>34800</v>
      </c>
      <c r="D166" s="20">
        <v>23400</v>
      </c>
      <c r="E166" s="20">
        <v>39050</v>
      </c>
      <c r="F166" s="20">
        <v>71100</v>
      </c>
      <c r="G166" s="14">
        <f t="shared" si="14"/>
        <v>-8.1967213114754189E-3</v>
      </c>
      <c r="H166" s="14">
        <f t="shared" si="15"/>
        <v>2.6548672566371723E-2</v>
      </c>
      <c r="I166" s="14">
        <f t="shared" si="16"/>
        <v>-1.2658227848101222E-2</v>
      </c>
      <c r="J166" s="14">
        <f t="shared" si="17"/>
        <v>1.2820512820512775E-3</v>
      </c>
      <c r="K166" s="14">
        <f t="shared" si="18"/>
        <v>-9.7493036211698803E-3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5">
      <c r="A167" s="12">
        <v>44754</v>
      </c>
      <c r="B167" s="20">
        <v>24400</v>
      </c>
      <c r="C167" s="20">
        <v>33900</v>
      </c>
      <c r="D167" s="20">
        <v>23700</v>
      </c>
      <c r="E167" s="20">
        <v>39000</v>
      </c>
      <c r="F167" s="20">
        <v>71800</v>
      </c>
      <c r="G167" s="14">
        <f t="shared" si="14"/>
        <v>2.5210084033613356E-2</v>
      </c>
      <c r="H167" s="14">
        <f t="shared" si="15"/>
        <v>1.1940298507462588E-2</v>
      </c>
      <c r="I167" s="14">
        <f t="shared" si="16"/>
        <v>8.5106382978723527E-3</v>
      </c>
      <c r="J167" s="14">
        <f t="shared" si="17"/>
        <v>0</v>
      </c>
      <c r="K167" s="14">
        <f t="shared" si="18"/>
        <v>3.4582132564841439E-2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5">
      <c r="A168" s="12">
        <v>44753</v>
      </c>
      <c r="B168" s="20">
        <v>23800</v>
      </c>
      <c r="C168" s="20">
        <v>33500</v>
      </c>
      <c r="D168" s="20">
        <v>23500</v>
      </c>
      <c r="E168" s="20">
        <v>39000</v>
      </c>
      <c r="F168" s="20">
        <v>69400</v>
      </c>
      <c r="G168" s="14">
        <f t="shared" si="14"/>
        <v>-8.3333333333333037E-3</v>
      </c>
      <c r="H168" s="14">
        <f t="shared" si="15"/>
        <v>9.0361445783131433E-3</v>
      </c>
      <c r="I168" s="14">
        <f t="shared" si="16"/>
        <v>1.2931034482758674E-2</v>
      </c>
      <c r="J168" s="14">
        <f t="shared" si="17"/>
        <v>2.6315789473684292E-2</v>
      </c>
      <c r="K168" s="14">
        <f t="shared" si="18"/>
        <v>2.0588235294117574E-2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5">
      <c r="A169" s="12">
        <v>44750</v>
      </c>
      <c r="B169" s="20">
        <v>24000</v>
      </c>
      <c r="C169" s="20">
        <v>33200</v>
      </c>
      <c r="D169" s="20">
        <v>23200</v>
      </c>
      <c r="E169" s="20">
        <v>38000</v>
      </c>
      <c r="F169" s="20">
        <v>68000</v>
      </c>
      <c r="G169" s="14">
        <f t="shared" si="14"/>
        <v>-4.7619047619047672E-2</v>
      </c>
      <c r="H169" s="14">
        <f t="shared" si="15"/>
        <v>-1.1904761904761862E-2</v>
      </c>
      <c r="I169" s="14">
        <f t="shared" si="16"/>
        <v>-2.9288702928870314E-2</v>
      </c>
      <c r="J169" s="14">
        <f t="shared" si="17"/>
        <v>0</v>
      </c>
      <c r="K169" s="14">
        <f t="shared" si="18"/>
        <v>3.8167938931297662E-2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5">
      <c r="A170" s="12">
        <v>44749</v>
      </c>
      <c r="B170" s="20">
        <v>25200</v>
      </c>
      <c r="C170" s="20">
        <v>33600</v>
      </c>
      <c r="D170" s="20">
        <v>23900</v>
      </c>
      <c r="E170" s="20">
        <v>38000</v>
      </c>
      <c r="F170" s="20">
        <v>65500</v>
      </c>
      <c r="G170" s="14">
        <f t="shared" si="14"/>
        <v>1.2048192771084265E-2</v>
      </c>
      <c r="H170" s="14">
        <f t="shared" si="15"/>
        <v>9.009009009008917E-3</v>
      </c>
      <c r="I170" s="14">
        <f t="shared" si="16"/>
        <v>5.2863436123347984E-2</v>
      </c>
      <c r="J170" s="14">
        <f t="shared" si="17"/>
        <v>2.7027027027026973E-2</v>
      </c>
      <c r="K170" s="14">
        <f t="shared" si="18"/>
        <v>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5">
      <c r="A171" s="12">
        <v>44748</v>
      </c>
      <c r="B171" s="20">
        <v>24900</v>
      </c>
      <c r="C171" s="20">
        <v>33300</v>
      </c>
      <c r="D171" s="20">
        <v>22700</v>
      </c>
      <c r="E171" s="20">
        <v>37000</v>
      </c>
      <c r="F171" s="20">
        <v>65500</v>
      </c>
      <c r="G171" s="14">
        <f t="shared" si="14"/>
        <v>1.2195121951219523E-2</v>
      </c>
      <c r="H171" s="14">
        <f t="shared" si="15"/>
        <v>3.0120481927711218E-3</v>
      </c>
      <c r="I171" s="14">
        <f t="shared" si="16"/>
        <v>6.5727699530516492E-2</v>
      </c>
      <c r="J171" s="14">
        <f t="shared" si="17"/>
        <v>0</v>
      </c>
      <c r="K171" s="14">
        <f t="shared" si="18"/>
        <v>-6.0698027314112224E-3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5">
      <c r="A172" s="12">
        <v>44747</v>
      </c>
      <c r="B172" s="20">
        <v>24600</v>
      </c>
      <c r="C172" s="20">
        <v>33200</v>
      </c>
      <c r="D172" s="20">
        <v>21300</v>
      </c>
      <c r="E172" s="20">
        <v>37000</v>
      </c>
      <c r="F172" s="20">
        <v>65900</v>
      </c>
      <c r="G172" s="14">
        <f t="shared" si="14"/>
        <v>8.3700440528634346E-2</v>
      </c>
      <c r="H172" s="14">
        <f t="shared" si="15"/>
        <v>-2.9239766081871399E-2</v>
      </c>
      <c r="I172" s="14">
        <f t="shared" si="16"/>
        <v>-1.8433179723502335E-2</v>
      </c>
      <c r="J172" s="14">
        <f t="shared" si="17"/>
        <v>-2.6315789473684181E-2</v>
      </c>
      <c r="K172" s="14">
        <f t="shared" si="18"/>
        <v>-2.5147928994082802E-2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5">
      <c r="A173" s="12">
        <v>44746</v>
      </c>
      <c r="B173" s="20">
        <v>22700</v>
      </c>
      <c r="C173" s="20">
        <v>34200</v>
      </c>
      <c r="D173" s="20">
        <v>21700</v>
      </c>
      <c r="E173" s="20">
        <v>38000</v>
      </c>
      <c r="F173" s="20">
        <v>67600</v>
      </c>
      <c r="G173" s="14">
        <f t="shared" si="14"/>
        <v>-4.3859649122807154E-3</v>
      </c>
      <c r="H173" s="14">
        <f t="shared" si="15"/>
        <v>1.1834319526627279E-2</v>
      </c>
      <c r="I173" s="14">
        <f t="shared" si="16"/>
        <v>-9.1324200913242004E-3</v>
      </c>
      <c r="J173" s="14">
        <f t="shared" si="17"/>
        <v>-7.8328981723237989E-3</v>
      </c>
      <c r="K173" s="14">
        <f t="shared" si="18"/>
        <v>1.1976047904191711E-2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5">
      <c r="A174" s="12">
        <v>44743</v>
      </c>
      <c r="B174" s="20">
        <v>22800</v>
      </c>
      <c r="C174" s="20">
        <v>33800</v>
      </c>
      <c r="D174" s="20">
        <v>21900</v>
      </c>
      <c r="E174" s="20">
        <v>38300</v>
      </c>
      <c r="F174" s="20">
        <v>66800</v>
      </c>
      <c r="G174" s="14">
        <f t="shared" si="14"/>
        <v>-2.1459227467811148E-2</v>
      </c>
      <c r="H174" s="14">
        <f t="shared" si="15"/>
        <v>0</v>
      </c>
      <c r="I174" s="14">
        <f t="shared" si="16"/>
        <v>-1.3513513513513487E-2</v>
      </c>
      <c r="J174" s="14">
        <f t="shared" si="17"/>
        <v>5.249343832020914E-3</v>
      </c>
      <c r="K174" s="14">
        <f t="shared" si="18"/>
        <v>-3.0478955007256947E-2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5">
      <c r="A175" s="12">
        <v>44742</v>
      </c>
      <c r="B175" s="20">
        <v>23300</v>
      </c>
      <c r="C175" s="20">
        <v>33800</v>
      </c>
      <c r="D175" s="20">
        <v>22200</v>
      </c>
      <c r="E175" s="20">
        <v>38100</v>
      </c>
      <c r="F175" s="20">
        <v>68900</v>
      </c>
      <c r="G175" s="14">
        <f t="shared" si="14"/>
        <v>3.5555555555555562E-2</v>
      </c>
      <c r="H175" s="14">
        <f t="shared" si="15"/>
        <v>4.806201550387601E-2</v>
      </c>
      <c r="I175" s="14">
        <f t="shared" si="16"/>
        <v>3.2558139534883734E-2</v>
      </c>
      <c r="J175" s="14">
        <f t="shared" si="17"/>
        <v>5.8333333333333348E-2</v>
      </c>
      <c r="K175" s="14">
        <f t="shared" si="18"/>
        <v>-8.6330935251798246E-3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5">
      <c r="A176" s="12">
        <v>44741</v>
      </c>
      <c r="B176" s="20">
        <v>22500</v>
      </c>
      <c r="C176" s="20">
        <v>32250</v>
      </c>
      <c r="D176" s="20">
        <v>21500</v>
      </c>
      <c r="E176" s="20">
        <v>36000</v>
      </c>
      <c r="F176" s="20">
        <v>69500</v>
      </c>
      <c r="G176" s="14">
        <f t="shared" si="14"/>
        <v>0</v>
      </c>
      <c r="H176" s="14">
        <f t="shared" si="15"/>
        <v>-1.0736196319018454E-2</v>
      </c>
      <c r="I176" s="14">
        <f t="shared" si="16"/>
        <v>-1.3761467889908285E-2</v>
      </c>
      <c r="J176" s="14">
        <f t="shared" si="17"/>
        <v>1.3908205841446364E-3</v>
      </c>
      <c r="K176" s="14">
        <f t="shared" si="18"/>
        <v>5.4628224582701002E-2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5">
      <c r="A177" s="12">
        <v>44740</v>
      </c>
      <c r="B177" s="20">
        <v>22500</v>
      </c>
      <c r="C177" s="20">
        <v>32600</v>
      </c>
      <c r="D177" s="20">
        <v>21800</v>
      </c>
      <c r="E177" s="20">
        <v>35950</v>
      </c>
      <c r="F177" s="20">
        <v>65900</v>
      </c>
      <c r="G177" s="14">
        <f t="shared" si="14"/>
        <v>3.2110091743119185E-2</v>
      </c>
      <c r="H177" s="14">
        <f t="shared" si="15"/>
        <v>-3.0581039755351869E-3</v>
      </c>
      <c r="I177" s="14">
        <f t="shared" si="16"/>
        <v>2.3474178403755763E-2</v>
      </c>
      <c r="J177" s="14">
        <f t="shared" si="17"/>
        <v>0</v>
      </c>
      <c r="K177" s="14">
        <f t="shared" si="18"/>
        <v>6.9805194805194759E-2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5">
      <c r="A178" s="12">
        <v>44739</v>
      </c>
      <c r="B178" s="20">
        <v>21800</v>
      </c>
      <c r="C178" s="20">
        <v>32700</v>
      </c>
      <c r="D178" s="20">
        <v>21300</v>
      </c>
      <c r="E178" s="20">
        <v>35950</v>
      </c>
      <c r="F178" s="20">
        <v>61600</v>
      </c>
      <c r="G178" s="14">
        <f t="shared" si="14"/>
        <v>-3.539823008849563E-2</v>
      </c>
      <c r="H178" s="14">
        <f t="shared" si="15"/>
        <v>-9.0909090909090384E-3</v>
      </c>
      <c r="I178" s="14">
        <f t="shared" si="16"/>
        <v>1.4285714285714235E-2</v>
      </c>
      <c r="J178" s="14">
        <f t="shared" si="17"/>
        <v>-6.906077348066253E-3</v>
      </c>
      <c r="K178" s="14">
        <f t="shared" si="18"/>
        <v>9.8360655737705915E-3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5">
      <c r="A179" s="12">
        <v>44736</v>
      </c>
      <c r="B179" s="20">
        <v>22600</v>
      </c>
      <c r="C179" s="20">
        <v>33000</v>
      </c>
      <c r="D179" s="20">
        <v>21000</v>
      </c>
      <c r="E179" s="20">
        <v>36200</v>
      </c>
      <c r="F179" s="20">
        <v>61000</v>
      </c>
      <c r="G179" s="14">
        <f t="shared" si="14"/>
        <v>4.1474654377880116E-2</v>
      </c>
      <c r="H179" s="14">
        <f t="shared" si="15"/>
        <v>1.5174506828528056E-3</v>
      </c>
      <c r="I179" s="14">
        <f t="shared" si="16"/>
        <v>2.9411764705882248E-2</v>
      </c>
      <c r="J179" s="14">
        <f t="shared" si="17"/>
        <v>0</v>
      </c>
      <c r="K179" s="14">
        <f t="shared" si="18"/>
        <v>-3.2679738562091387E-3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35">
      <c r="A180" s="12">
        <v>44735</v>
      </c>
      <c r="B180" s="20">
        <v>21700</v>
      </c>
      <c r="C180" s="20">
        <v>32950</v>
      </c>
      <c r="D180" s="20">
        <v>20400</v>
      </c>
      <c r="E180" s="20">
        <v>36200</v>
      </c>
      <c r="F180" s="20">
        <v>61200</v>
      </c>
      <c r="G180" s="14">
        <f t="shared" si="14"/>
        <v>2.8436018957346043E-2</v>
      </c>
      <c r="H180" s="14">
        <f t="shared" si="15"/>
        <v>1.0736196319018454E-2</v>
      </c>
      <c r="I180" s="14">
        <f t="shared" si="16"/>
        <v>9.9009900990099098E-3</v>
      </c>
      <c r="J180" s="14">
        <f t="shared" si="17"/>
        <v>1.3831258644536604E-3</v>
      </c>
      <c r="K180" s="14">
        <f t="shared" si="18"/>
        <v>6.5789473684210176E-3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5">
      <c r="A181" s="12">
        <v>44734</v>
      </c>
      <c r="B181" s="20">
        <v>21100</v>
      </c>
      <c r="C181" s="20">
        <v>32600</v>
      </c>
      <c r="D181" s="20">
        <v>20200</v>
      </c>
      <c r="E181" s="20">
        <v>36150</v>
      </c>
      <c r="F181" s="20">
        <v>60800</v>
      </c>
      <c r="G181" s="14">
        <f t="shared" si="14"/>
        <v>-3.2110091743119296E-2</v>
      </c>
      <c r="H181" s="14">
        <f t="shared" si="15"/>
        <v>1.2422360248447228E-2</v>
      </c>
      <c r="I181" s="14">
        <f t="shared" si="16"/>
        <v>-1.4634146341463428E-2</v>
      </c>
      <c r="J181" s="14">
        <f t="shared" si="17"/>
        <v>-9.5890410958904271E-3</v>
      </c>
      <c r="K181" s="14">
        <f t="shared" si="18"/>
        <v>-1.6420361247947435E-3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35">
      <c r="A182" s="12">
        <v>44733</v>
      </c>
      <c r="B182" s="20">
        <v>21800</v>
      </c>
      <c r="C182" s="20">
        <v>32200</v>
      </c>
      <c r="D182" s="20">
        <v>20500</v>
      </c>
      <c r="E182" s="20">
        <v>36500</v>
      </c>
      <c r="F182" s="20">
        <v>60900</v>
      </c>
      <c r="G182" s="14">
        <f t="shared" si="14"/>
        <v>5.8252427184465994E-2</v>
      </c>
      <c r="H182" s="14">
        <f t="shared" si="15"/>
        <v>3.2051282051282159E-2</v>
      </c>
      <c r="I182" s="14">
        <f t="shared" si="16"/>
        <v>-2.8436018957345932E-2</v>
      </c>
      <c r="J182" s="14">
        <f t="shared" si="17"/>
        <v>1.9553072625698276E-2</v>
      </c>
      <c r="K182" s="14">
        <f t="shared" si="18"/>
        <v>4.9504950495049549E-3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5">
      <c r="A183" s="12">
        <v>44732</v>
      </c>
      <c r="B183" s="20">
        <v>20600</v>
      </c>
      <c r="C183" s="20">
        <v>31200</v>
      </c>
      <c r="D183" s="20">
        <v>21100</v>
      </c>
      <c r="E183" s="20">
        <v>35800</v>
      </c>
      <c r="F183" s="20">
        <v>60600</v>
      </c>
      <c r="G183" s="14">
        <f t="shared" si="14"/>
        <v>9.5744680851063801E-2</v>
      </c>
      <c r="H183" s="14">
        <f t="shared" si="15"/>
        <v>4.173622704507518E-2</v>
      </c>
      <c r="I183" s="14">
        <f t="shared" si="16"/>
        <v>5.4999999999999938E-2</v>
      </c>
      <c r="J183" s="14">
        <f t="shared" si="17"/>
        <v>4.0697674418604723E-2</v>
      </c>
      <c r="K183" s="14">
        <f t="shared" si="18"/>
        <v>2.7118644067796627E-2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5">
      <c r="A184" s="12">
        <v>44729</v>
      </c>
      <c r="B184" s="20">
        <v>18800</v>
      </c>
      <c r="C184" s="20">
        <v>29950</v>
      </c>
      <c r="D184" s="20">
        <v>20000</v>
      </c>
      <c r="E184" s="20">
        <v>34400</v>
      </c>
      <c r="F184" s="20">
        <v>59000</v>
      </c>
      <c r="G184" s="14">
        <f t="shared" si="14"/>
        <v>3.2967032967033072E-2</v>
      </c>
      <c r="H184" s="14">
        <f t="shared" si="15"/>
        <v>1.5254237288135686E-2</v>
      </c>
      <c r="I184" s="14">
        <f t="shared" si="16"/>
        <v>2.0408163265306145E-2</v>
      </c>
      <c r="J184" s="14">
        <f t="shared" si="17"/>
        <v>1.4556040756914523E-3</v>
      </c>
      <c r="K184" s="14">
        <f t="shared" si="18"/>
        <v>2.430555555555558E-2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5">
      <c r="A185" s="12">
        <v>44728</v>
      </c>
      <c r="B185" s="20">
        <v>18200</v>
      </c>
      <c r="C185" s="20">
        <v>29500</v>
      </c>
      <c r="D185" s="20">
        <v>19600</v>
      </c>
      <c r="E185" s="20">
        <v>34350</v>
      </c>
      <c r="F185" s="20">
        <v>57600</v>
      </c>
      <c r="G185" s="14">
        <f t="shared" si="14"/>
        <v>-1.0869565217391353E-2</v>
      </c>
      <c r="H185" s="14">
        <f t="shared" si="15"/>
        <v>-3.5947712418300637E-2</v>
      </c>
      <c r="I185" s="14">
        <f t="shared" si="16"/>
        <v>-2.9702970297029729E-2</v>
      </c>
      <c r="J185" s="14">
        <f t="shared" si="17"/>
        <v>-2.6912181303116123E-2</v>
      </c>
      <c r="K185" s="14">
        <f t="shared" si="18"/>
        <v>6.8645640074211478E-2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5">
      <c r="A186" s="12">
        <v>44727</v>
      </c>
      <c r="B186" s="20">
        <v>18400</v>
      </c>
      <c r="C186" s="20">
        <v>30600</v>
      </c>
      <c r="D186" s="20">
        <v>20200</v>
      </c>
      <c r="E186" s="20">
        <v>35300</v>
      </c>
      <c r="F186" s="20">
        <v>53900</v>
      </c>
      <c r="G186" s="14">
        <f t="shared" si="14"/>
        <v>5.464480874316946E-3</v>
      </c>
      <c r="H186" s="14">
        <f t="shared" si="15"/>
        <v>9.9009900990099098E-3</v>
      </c>
      <c r="I186" s="14">
        <f t="shared" si="16"/>
        <v>9.7826086956521729E-2</v>
      </c>
      <c r="J186" s="14">
        <f t="shared" si="17"/>
        <v>-1.1204481792717047E-2</v>
      </c>
      <c r="K186" s="14">
        <f t="shared" si="18"/>
        <v>6.944444444444442E-2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5">
      <c r="A187" s="12">
        <v>44726</v>
      </c>
      <c r="B187" s="20">
        <v>18300</v>
      </c>
      <c r="C187" s="20">
        <v>30300</v>
      </c>
      <c r="D187" s="20">
        <v>18400</v>
      </c>
      <c r="E187" s="20">
        <v>35700</v>
      </c>
      <c r="F187" s="20">
        <v>50400</v>
      </c>
      <c r="G187" s="14">
        <f t="shared" si="14"/>
        <v>1.6666666666666607E-2</v>
      </c>
      <c r="H187" s="14">
        <f t="shared" si="15"/>
        <v>2.020202020202011E-2</v>
      </c>
      <c r="I187" s="14">
        <f t="shared" si="16"/>
        <v>9.5238095238095344E-2</v>
      </c>
      <c r="J187" s="14">
        <f t="shared" si="17"/>
        <v>-5.5710306406685506E-3</v>
      </c>
      <c r="K187" s="14">
        <f t="shared" si="18"/>
        <v>8.0000000000000071E-3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5">
      <c r="A188" s="12">
        <v>44725</v>
      </c>
      <c r="B188" s="20">
        <v>18000</v>
      </c>
      <c r="C188" s="20">
        <v>29700</v>
      </c>
      <c r="D188" s="20">
        <v>16800</v>
      </c>
      <c r="E188" s="20">
        <v>35900</v>
      </c>
      <c r="F188" s="20">
        <v>50000</v>
      </c>
      <c r="G188" s="14">
        <f t="shared" si="14"/>
        <v>9.7560975609756184E-2</v>
      </c>
      <c r="H188" s="14">
        <f t="shared" si="15"/>
        <v>2.9462738301559765E-2</v>
      </c>
      <c r="I188" s="14">
        <f t="shared" si="16"/>
        <v>9.8039215686274606E-2</v>
      </c>
      <c r="J188" s="14">
        <f t="shared" si="17"/>
        <v>2.5714285714285801E-2</v>
      </c>
      <c r="K188" s="14">
        <f t="shared" si="18"/>
        <v>3.3057851239669311E-2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5">
      <c r="A189" s="12">
        <v>44722</v>
      </c>
      <c r="B189" s="20">
        <v>16400</v>
      </c>
      <c r="C189" s="20">
        <v>28850</v>
      </c>
      <c r="D189" s="20">
        <v>15300</v>
      </c>
      <c r="E189" s="20">
        <v>35000</v>
      </c>
      <c r="F189" s="20">
        <v>48400</v>
      </c>
      <c r="G189" s="14">
        <f t="shared" si="14"/>
        <v>5.1282051282051322E-2</v>
      </c>
      <c r="H189" s="14">
        <f t="shared" si="15"/>
        <v>1.763668430335108E-2</v>
      </c>
      <c r="I189" s="14">
        <f t="shared" si="16"/>
        <v>3.3783783783783772E-2</v>
      </c>
      <c r="J189" s="14">
        <f t="shared" si="17"/>
        <v>-8.4985835694051381E-3</v>
      </c>
      <c r="K189" s="14">
        <f t="shared" si="18"/>
        <v>2.7600849256900206E-2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35">
      <c r="A190" s="12">
        <v>44721</v>
      </c>
      <c r="B190" s="20">
        <v>15600</v>
      </c>
      <c r="C190" s="20">
        <v>28350</v>
      </c>
      <c r="D190" s="20">
        <v>14800</v>
      </c>
      <c r="E190" s="20">
        <v>35300</v>
      </c>
      <c r="F190" s="20">
        <v>47100</v>
      </c>
      <c r="G190" s="14">
        <f t="shared" si="14"/>
        <v>-6.0240963855421659E-2</v>
      </c>
      <c r="H190" s="14">
        <f t="shared" si="15"/>
        <v>-2.910958904109584E-2</v>
      </c>
      <c r="I190" s="14">
        <f t="shared" si="16"/>
        <v>-9.7560975609756073E-2</v>
      </c>
      <c r="J190" s="14">
        <f t="shared" si="17"/>
        <v>-1.4144271570014633E-3</v>
      </c>
      <c r="K190" s="14">
        <f t="shared" si="18"/>
        <v>2.3913043478260843E-2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35">
      <c r="A191" s="12">
        <v>44720</v>
      </c>
      <c r="B191" s="20">
        <v>16600</v>
      </c>
      <c r="C191" s="20">
        <v>29200</v>
      </c>
      <c r="D191" s="20">
        <v>16400</v>
      </c>
      <c r="E191" s="20">
        <v>35350</v>
      </c>
      <c r="F191" s="20">
        <v>46000</v>
      </c>
      <c r="G191" s="14">
        <f t="shared" si="14"/>
        <v>8.4967320261437829E-2</v>
      </c>
      <c r="H191" s="14">
        <f t="shared" si="15"/>
        <v>1.5652173913043521E-2</v>
      </c>
      <c r="I191" s="14">
        <f t="shared" si="16"/>
        <v>3.1446540880503138E-2</v>
      </c>
      <c r="J191" s="14">
        <f t="shared" si="17"/>
        <v>2.9112081513828159E-2</v>
      </c>
      <c r="K191" s="14">
        <f t="shared" si="18"/>
        <v>2.1087680355160954E-2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35">
      <c r="A192" s="12">
        <v>44719</v>
      </c>
      <c r="B192" s="20">
        <v>15300</v>
      </c>
      <c r="C192" s="20">
        <v>28750</v>
      </c>
      <c r="D192" s="20">
        <v>15900</v>
      </c>
      <c r="E192" s="20">
        <v>34350</v>
      </c>
      <c r="F192" s="20">
        <v>45050</v>
      </c>
      <c r="G192" s="14">
        <f t="shared" si="14"/>
        <v>-9.9999999999999978E-2</v>
      </c>
      <c r="H192" s="14">
        <f t="shared" si="15"/>
        <v>-6.9579288025889974E-2</v>
      </c>
      <c r="I192" s="14">
        <f t="shared" si="16"/>
        <v>-9.6590909090909061E-2</v>
      </c>
      <c r="J192" s="14">
        <f t="shared" si="17"/>
        <v>-6.9105691056910556E-2</v>
      </c>
      <c r="K192" s="14">
        <f t="shared" si="18"/>
        <v>-6.9214876033057871E-2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35">
      <c r="A193" s="12">
        <v>44718</v>
      </c>
      <c r="B193" s="20">
        <v>17000</v>
      </c>
      <c r="C193" s="20">
        <v>30900</v>
      </c>
      <c r="D193" s="20">
        <v>17600</v>
      </c>
      <c r="E193" s="20">
        <v>36900</v>
      </c>
      <c r="F193" s="20">
        <v>48400</v>
      </c>
      <c r="G193" s="14">
        <f t="shared" si="14"/>
        <v>-8.6021505376344121E-2</v>
      </c>
      <c r="H193" s="14">
        <f t="shared" si="15"/>
        <v>-3.1347962382445194E-2</v>
      </c>
      <c r="I193" s="14">
        <f t="shared" si="16"/>
        <v>-9.7435897435897423E-2</v>
      </c>
      <c r="J193" s="14">
        <f t="shared" si="17"/>
        <v>0</v>
      </c>
      <c r="K193" s="14">
        <f t="shared" si="18"/>
        <v>-6.5637065637065617E-2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35">
      <c r="A194" s="12">
        <v>44715</v>
      </c>
      <c r="B194" s="20">
        <v>18600</v>
      </c>
      <c r="C194" s="20">
        <v>31900</v>
      </c>
      <c r="D194" s="20">
        <v>19500</v>
      </c>
      <c r="E194" s="20">
        <v>36900</v>
      </c>
      <c r="F194" s="20">
        <v>51800</v>
      </c>
      <c r="G194" s="14">
        <f t="shared" si="14"/>
        <v>-5.5837563451776595E-2</v>
      </c>
      <c r="H194" s="14">
        <f t="shared" si="15"/>
        <v>-3.3333333333333326E-2</v>
      </c>
      <c r="I194" s="14">
        <f t="shared" si="16"/>
        <v>-9.722222222222221E-2</v>
      </c>
      <c r="J194" s="14">
        <f t="shared" si="17"/>
        <v>2.7173913043478937E-3</v>
      </c>
      <c r="K194" s="14">
        <f t="shared" si="18"/>
        <v>1.9685039370078705E-2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35">
      <c r="A195" s="12">
        <v>44714</v>
      </c>
      <c r="B195" s="20">
        <v>19700</v>
      </c>
      <c r="C195" s="20">
        <v>33000</v>
      </c>
      <c r="D195" s="20">
        <v>21600</v>
      </c>
      <c r="E195" s="20">
        <v>36800</v>
      </c>
      <c r="F195" s="20">
        <v>50800</v>
      </c>
      <c r="G195" s="14">
        <f t="shared" si="14"/>
        <v>-1.0050251256281451E-2</v>
      </c>
      <c r="H195" s="14">
        <f t="shared" si="15"/>
        <v>0</v>
      </c>
      <c r="I195" s="14">
        <f t="shared" si="16"/>
        <v>-3.1390134529147962E-2</v>
      </c>
      <c r="J195" s="14">
        <f t="shared" si="17"/>
        <v>2.2222222222222143E-2</v>
      </c>
      <c r="K195" s="14">
        <f t="shared" si="18"/>
        <v>6.9473684210526354E-2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35">
      <c r="A196" s="12">
        <v>44713</v>
      </c>
      <c r="B196" s="20">
        <v>19900</v>
      </c>
      <c r="C196" s="20">
        <v>33000</v>
      </c>
      <c r="D196" s="20">
        <v>22300</v>
      </c>
      <c r="E196" s="20">
        <v>36000</v>
      </c>
      <c r="F196" s="20">
        <v>47500</v>
      </c>
      <c r="G196" s="14">
        <f t="shared" si="14"/>
        <v>-1.9704433497536922E-2</v>
      </c>
      <c r="H196" s="14">
        <f t="shared" si="15"/>
        <v>-9.009009009009028E-3</v>
      </c>
      <c r="I196" s="14">
        <f t="shared" si="16"/>
        <v>-4.7008547008547064E-2</v>
      </c>
      <c r="J196" s="14">
        <f t="shared" si="17"/>
        <v>4.0462427745664664E-2</v>
      </c>
      <c r="K196" s="14">
        <f t="shared" si="18"/>
        <v>8.4925690021231404E-3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35">
      <c r="A197" s="12">
        <v>44712</v>
      </c>
      <c r="B197" s="20">
        <v>20300</v>
      </c>
      <c r="C197" s="20">
        <v>33300</v>
      </c>
      <c r="D197" s="20">
        <v>23400</v>
      </c>
      <c r="E197" s="20">
        <v>34600</v>
      </c>
      <c r="F197" s="20">
        <v>47100</v>
      </c>
      <c r="G197" s="14">
        <f t="shared" ref="G197:G260" si="19">B197/B198-1</f>
        <v>3.0456852791878264E-2</v>
      </c>
      <c r="H197" s="14">
        <f t="shared" ref="H197:H260" si="20">C197/C198-1</f>
        <v>1.6793893129771087E-2</v>
      </c>
      <c r="I197" s="14">
        <f t="shared" ref="I197:I260" si="21">D197/D198-1</f>
        <v>-1.2658227848101222E-2</v>
      </c>
      <c r="J197" s="14">
        <f t="shared" ref="J197:J260" si="22">E197/E198-1</f>
        <v>4.8484848484848575E-2</v>
      </c>
      <c r="K197" s="14">
        <f t="shared" ref="K197:K260" si="23">F197/F198-1</f>
        <v>3.289473684210531E-2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35">
      <c r="A198" s="12">
        <v>44711</v>
      </c>
      <c r="B198" s="20">
        <v>19700</v>
      </c>
      <c r="C198" s="20">
        <v>32750</v>
      </c>
      <c r="D198" s="20">
        <v>23700</v>
      </c>
      <c r="E198" s="20">
        <v>33000</v>
      </c>
      <c r="F198" s="20">
        <v>45600</v>
      </c>
      <c r="G198" s="14">
        <f t="shared" si="19"/>
        <v>4.2328042328042326E-2</v>
      </c>
      <c r="H198" s="14">
        <f t="shared" si="20"/>
        <v>6.1443932411673341E-3</v>
      </c>
      <c r="I198" s="14">
        <f t="shared" si="21"/>
        <v>7.2398190045248834E-2</v>
      </c>
      <c r="J198" s="14">
        <f t="shared" si="22"/>
        <v>3.125E-2</v>
      </c>
      <c r="K198" s="14">
        <f t="shared" si="23"/>
        <v>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35">
      <c r="A199" s="12">
        <v>44708</v>
      </c>
      <c r="B199" s="20">
        <v>18900</v>
      </c>
      <c r="C199" s="20">
        <v>32550</v>
      </c>
      <c r="D199" s="20">
        <v>22100</v>
      </c>
      <c r="E199" s="20">
        <v>32000</v>
      </c>
      <c r="F199" s="20">
        <v>45600</v>
      </c>
      <c r="G199" s="14">
        <f t="shared" si="19"/>
        <v>-9.5693779904306275E-2</v>
      </c>
      <c r="H199" s="14">
        <f t="shared" si="20"/>
        <v>-6.7335243553008572E-2</v>
      </c>
      <c r="I199" s="14">
        <f t="shared" si="21"/>
        <v>-9.7959183673469341E-2</v>
      </c>
      <c r="J199" s="14">
        <f t="shared" si="22"/>
        <v>-4.6199701937406856E-2</v>
      </c>
      <c r="K199" s="14">
        <f t="shared" si="23"/>
        <v>-6.9387755102040871E-2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35">
      <c r="A200" s="12">
        <v>44707</v>
      </c>
      <c r="B200" s="20">
        <v>20900</v>
      </c>
      <c r="C200" s="20">
        <v>34900</v>
      </c>
      <c r="D200" s="20">
        <v>24500</v>
      </c>
      <c r="E200" s="20">
        <v>33550</v>
      </c>
      <c r="F200" s="20">
        <v>49000</v>
      </c>
      <c r="G200" s="14">
        <f t="shared" si="19"/>
        <v>-3.240740740740744E-2</v>
      </c>
      <c r="H200" s="14">
        <f t="shared" si="20"/>
        <v>-6.9333333333333358E-2</v>
      </c>
      <c r="I200" s="14">
        <f t="shared" si="21"/>
        <v>-2.3904382470119501E-2</v>
      </c>
      <c r="J200" s="14">
        <f t="shared" si="22"/>
        <v>1.9756838905775176E-2</v>
      </c>
      <c r="K200" s="14">
        <f t="shared" si="23"/>
        <v>1.6597510373443924E-2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35">
      <c r="A201" s="12">
        <v>44706</v>
      </c>
      <c r="B201" s="20">
        <v>21600</v>
      </c>
      <c r="C201" s="20">
        <v>37500</v>
      </c>
      <c r="D201" s="20">
        <v>25100</v>
      </c>
      <c r="E201" s="20">
        <v>32900</v>
      </c>
      <c r="F201" s="20">
        <v>48200</v>
      </c>
      <c r="G201" s="14">
        <f t="shared" si="19"/>
        <v>3.8461538461538547E-2</v>
      </c>
      <c r="H201" s="14">
        <f t="shared" si="20"/>
        <v>-1.8324607329842979E-2</v>
      </c>
      <c r="I201" s="14">
        <f t="shared" si="21"/>
        <v>1.6194331983805599E-2</v>
      </c>
      <c r="J201" s="14">
        <f t="shared" si="22"/>
        <v>-6.0422960725075026E-3</v>
      </c>
      <c r="K201" s="14">
        <f t="shared" si="23"/>
        <v>4.3290043290043378E-2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35">
      <c r="A202" s="12">
        <v>44705</v>
      </c>
      <c r="B202" s="20">
        <v>20800</v>
      </c>
      <c r="C202" s="20">
        <v>38200</v>
      </c>
      <c r="D202" s="20">
        <v>24700</v>
      </c>
      <c r="E202" s="20">
        <v>33100</v>
      </c>
      <c r="F202" s="20">
        <v>46200</v>
      </c>
      <c r="G202" s="14">
        <f t="shared" si="19"/>
        <v>1.4634146341463428E-2</v>
      </c>
      <c r="H202" s="14">
        <f t="shared" si="20"/>
        <v>2.6881720430107503E-2</v>
      </c>
      <c r="I202" s="14">
        <f t="shared" si="21"/>
        <v>8.3333333333333259E-2</v>
      </c>
      <c r="J202" s="14">
        <f t="shared" si="22"/>
        <v>1.6897081413210335E-2</v>
      </c>
      <c r="K202" s="14">
        <f t="shared" si="23"/>
        <v>-1.0706638115631661E-2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35">
      <c r="A203" s="12">
        <v>44704</v>
      </c>
      <c r="B203" s="20">
        <v>20500</v>
      </c>
      <c r="C203" s="20">
        <v>37200</v>
      </c>
      <c r="D203" s="20">
        <v>22800</v>
      </c>
      <c r="E203" s="20">
        <v>32550</v>
      </c>
      <c r="F203" s="20">
        <v>46700</v>
      </c>
      <c r="G203" s="14">
        <f t="shared" si="19"/>
        <v>-1.9138755980861233E-2</v>
      </c>
      <c r="H203" s="14">
        <f t="shared" si="20"/>
        <v>0</v>
      </c>
      <c r="I203" s="14">
        <f t="shared" si="21"/>
        <v>-2.5641025641025661E-2</v>
      </c>
      <c r="J203" s="14">
        <f t="shared" si="22"/>
        <v>6.8965517241379226E-2</v>
      </c>
      <c r="K203" s="14">
        <f t="shared" si="23"/>
        <v>1.7429193899782147E-2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35">
      <c r="A204" s="12">
        <v>44701</v>
      </c>
      <c r="B204" s="20">
        <v>20900</v>
      </c>
      <c r="C204" s="20">
        <v>37200</v>
      </c>
      <c r="D204" s="20">
        <v>23400</v>
      </c>
      <c r="E204" s="20">
        <v>30450</v>
      </c>
      <c r="F204" s="20">
        <v>45900</v>
      </c>
      <c r="G204" s="14">
        <f t="shared" si="19"/>
        <v>-4.761904761904745E-3</v>
      </c>
      <c r="H204" s="14">
        <f t="shared" si="20"/>
        <v>2.6954177897573484E-3</v>
      </c>
      <c r="I204" s="14">
        <f t="shared" si="21"/>
        <v>-8.4745762711864181E-3</v>
      </c>
      <c r="J204" s="14">
        <f t="shared" si="22"/>
        <v>-1.2965964343598091E-2</v>
      </c>
      <c r="K204" s="14">
        <f t="shared" si="23"/>
        <v>6.4965197215777204E-2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35">
      <c r="A205" s="12">
        <v>44700</v>
      </c>
      <c r="B205" s="20">
        <v>21000</v>
      </c>
      <c r="C205" s="20">
        <v>37100</v>
      </c>
      <c r="D205" s="20">
        <v>23600</v>
      </c>
      <c r="E205" s="20">
        <v>30850</v>
      </c>
      <c r="F205" s="20">
        <v>43100</v>
      </c>
      <c r="G205" s="14">
        <f t="shared" si="19"/>
        <v>2.4390243902439046E-2</v>
      </c>
      <c r="H205" s="14">
        <f t="shared" si="20"/>
        <v>-2.3684210526315752E-2</v>
      </c>
      <c r="I205" s="14">
        <f t="shared" si="21"/>
        <v>-4.2194092827003704E-3</v>
      </c>
      <c r="J205" s="14">
        <f t="shared" si="22"/>
        <v>3.350083752093802E-2</v>
      </c>
      <c r="K205" s="14">
        <f t="shared" si="23"/>
        <v>-5.7670126874279637E-3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35">
      <c r="A206" s="12">
        <v>44699</v>
      </c>
      <c r="B206" s="20">
        <v>20500</v>
      </c>
      <c r="C206" s="20">
        <v>38000</v>
      </c>
      <c r="D206" s="20">
        <v>23700</v>
      </c>
      <c r="E206" s="20">
        <v>29850</v>
      </c>
      <c r="F206" s="20">
        <v>43350</v>
      </c>
      <c r="G206" s="14">
        <f t="shared" si="19"/>
        <v>1.990049751243772E-2</v>
      </c>
      <c r="H206" s="14">
        <f t="shared" si="20"/>
        <v>-1.1703511053316018E-2</v>
      </c>
      <c r="I206" s="14">
        <f t="shared" si="21"/>
        <v>-2.8688524590163911E-2</v>
      </c>
      <c r="J206" s="14">
        <f t="shared" si="22"/>
        <v>-3.3388981636059967E-3</v>
      </c>
      <c r="K206" s="14">
        <f t="shared" si="23"/>
        <v>-1.1402508551881407E-2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35">
      <c r="A207" s="12">
        <v>44698</v>
      </c>
      <c r="B207" s="20">
        <v>20100</v>
      </c>
      <c r="C207" s="20">
        <v>38450</v>
      </c>
      <c r="D207" s="20">
        <v>24400</v>
      </c>
      <c r="E207" s="20">
        <v>29950</v>
      </c>
      <c r="F207" s="20">
        <v>43850</v>
      </c>
      <c r="G207" s="14">
        <f t="shared" si="19"/>
        <v>5.2356020942408321E-2</v>
      </c>
      <c r="H207" s="14">
        <f t="shared" si="20"/>
        <v>2.8074866310160429E-2</v>
      </c>
      <c r="I207" s="14">
        <f t="shared" si="21"/>
        <v>2.5210084033613356E-2</v>
      </c>
      <c r="J207" s="14">
        <f t="shared" si="22"/>
        <v>1.6977928692699429E-2</v>
      </c>
      <c r="K207" s="14">
        <f t="shared" si="23"/>
        <v>3.1764705882352917E-2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35">
      <c r="A208" s="12">
        <v>44697</v>
      </c>
      <c r="B208" s="20">
        <v>19100</v>
      </c>
      <c r="C208" s="20">
        <v>37400</v>
      </c>
      <c r="D208" s="20">
        <v>23800</v>
      </c>
      <c r="E208" s="20">
        <v>29450</v>
      </c>
      <c r="F208" s="20">
        <v>42500</v>
      </c>
      <c r="G208" s="14">
        <f t="shared" si="19"/>
        <v>2.1390374331550888E-2</v>
      </c>
      <c r="H208" s="14">
        <f t="shared" si="20"/>
        <v>2.1857923497267784E-2</v>
      </c>
      <c r="I208" s="14">
        <f t="shared" si="21"/>
        <v>7.6923076923076872E-2</v>
      </c>
      <c r="J208" s="14">
        <f t="shared" si="22"/>
        <v>8.5616438356164171E-3</v>
      </c>
      <c r="K208" s="14">
        <f t="shared" si="23"/>
        <v>1.9184652278177561E-2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35">
      <c r="A209" s="12">
        <v>44694</v>
      </c>
      <c r="B209" s="20">
        <v>18700</v>
      </c>
      <c r="C209" s="20">
        <v>36600</v>
      </c>
      <c r="D209" s="20">
        <v>22100</v>
      </c>
      <c r="E209" s="20">
        <v>29200</v>
      </c>
      <c r="F209" s="20">
        <v>41700</v>
      </c>
      <c r="G209" s="14">
        <f t="shared" si="19"/>
        <v>-5.3191489361702482E-3</v>
      </c>
      <c r="H209" s="14">
        <f t="shared" si="20"/>
        <v>0</v>
      </c>
      <c r="I209" s="14">
        <f t="shared" si="21"/>
        <v>9.9502487562189046E-2</v>
      </c>
      <c r="J209" s="14">
        <f t="shared" si="22"/>
        <v>3.4364261168384758E-3</v>
      </c>
      <c r="K209" s="14">
        <f t="shared" si="23"/>
        <v>-2.7972027972028024E-2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35">
      <c r="A210" s="12">
        <v>44693</v>
      </c>
      <c r="B210" s="20">
        <v>18800</v>
      </c>
      <c r="C210" s="20">
        <v>36600</v>
      </c>
      <c r="D210" s="20">
        <v>20100</v>
      </c>
      <c r="E210" s="20">
        <v>29100</v>
      </c>
      <c r="F210" s="20">
        <v>42900</v>
      </c>
      <c r="G210" s="14">
        <f t="shared" si="19"/>
        <v>5.6179775280898792E-2</v>
      </c>
      <c r="H210" s="14">
        <f t="shared" si="20"/>
        <v>1.9498607242339761E-2</v>
      </c>
      <c r="I210" s="14">
        <f t="shared" si="21"/>
        <v>9.8360655737705027E-2</v>
      </c>
      <c r="J210" s="14">
        <f t="shared" si="22"/>
        <v>1.3937282229965264E-2</v>
      </c>
      <c r="K210" s="14">
        <f t="shared" si="23"/>
        <v>2.1428571428571352E-2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35">
      <c r="A211" s="12">
        <v>44692</v>
      </c>
      <c r="B211" s="20">
        <v>17800</v>
      </c>
      <c r="C211" s="20">
        <v>35900</v>
      </c>
      <c r="D211" s="20">
        <v>18300</v>
      </c>
      <c r="E211" s="20">
        <v>28700</v>
      </c>
      <c r="F211" s="20">
        <v>42000</v>
      </c>
      <c r="G211" s="14">
        <f t="shared" si="19"/>
        <v>5.6497175141243527E-3</v>
      </c>
      <c r="H211" s="14">
        <f t="shared" si="20"/>
        <v>1.8439716312056653E-2</v>
      </c>
      <c r="I211" s="14">
        <f t="shared" si="21"/>
        <v>9.5808383233533023E-2</v>
      </c>
      <c r="J211" s="14">
        <f t="shared" si="22"/>
        <v>1.5929203539823078E-2</v>
      </c>
      <c r="K211" s="14">
        <f t="shared" si="23"/>
        <v>1.449275362318847E-2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35">
      <c r="A212" s="12">
        <v>44691</v>
      </c>
      <c r="B212" s="20">
        <v>17700</v>
      </c>
      <c r="C212" s="20">
        <v>35250</v>
      </c>
      <c r="D212" s="20">
        <v>16700</v>
      </c>
      <c r="E212" s="20">
        <v>28250</v>
      </c>
      <c r="F212" s="20">
        <v>41400</v>
      </c>
      <c r="G212" s="14">
        <f t="shared" si="19"/>
        <v>-5.6179775280899014E-3</v>
      </c>
      <c r="H212" s="14">
        <f t="shared" si="20"/>
        <v>2.8449502133711668E-3</v>
      </c>
      <c r="I212" s="14">
        <f t="shared" si="21"/>
        <v>4.3749999999999956E-2</v>
      </c>
      <c r="J212" s="14">
        <f t="shared" si="22"/>
        <v>-1.0507880910682998E-2</v>
      </c>
      <c r="K212" s="14">
        <f t="shared" si="23"/>
        <v>-4.8076923076922906E-3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35">
      <c r="A213" s="12">
        <v>44690</v>
      </c>
      <c r="B213" s="20">
        <v>17800</v>
      </c>
      <c r="C213" s="20">
        <v>35150</v>
      </c>
      <c r="D213" s="20">
        <v>16000</v>
      </c>
      <c r="E213" s="20">
        <v>28550</v>
      </c>
      <c r="F213" s="20">
        <v>41600</v>
      </c>
      <c r="G213" s="14">
        <f t="shared" si="19"/>
        <v>0</v>
      </c>
      <c r="H213" s="14">
        <f t="shared" si="20"/>
        <v>-4.2492917847025691E-3</v>
      </c>
      <c r="I213" s="14">
        <f t="shared" si="21"/>
        <v>3.8961038961038863E-2</v>
      </c>
      <c r="J213" s="14">
        <f t="shared" si="22"/>
        <v>-8.6805555555555802E-3</v>
      </c>
      <c r="K213" s="14">
        <f t="shared" si="23"/>
        <v>-9.52380952380949E-3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35">
      <c r="A214" s="12">
        <v>44687</v>
      </c>
      <c r="B214" s="20">
        <v>17800</v>
      </c>
      <c r="C214" s="20">
        <v>35300</v>
      </c>
      <c r="D214" s="20">
        <v>15400</v>
      </c>
      <c r="E214" s="20">
        <v>28800</v>
      </c>
      <c r="F214" s="20">
        <v>42000</v>
      </c>
      <c r="G214" s="14">
        <f t="shared" si="19"/>
        <v>9.8765432098765427E-2</v>
      </c>
      <c r="H214" s="14">
        <f t="shared" si="20"/>
        <v>-2.8248587570621764E-3</v>
      </c>
      <c r="I214" s="14">
        <f t="shared" si="21"/>
        <v>2.6666666666666616E-2</v>
      </c>
      <c r="J214" s="14">
        <f t="shared" si="22"/>
        <v>-1.538461538461533E-2</v>
      </c>
      <c r="K214" s="14">
        <f t="shared" si="23"/>
        <v>-1.8691588785046731E-2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35">
      <c r="A215" s="12">
        <v>44686</v>
      </c>
      <c r="B215" s="20">
        <v>16200</v>
      </c>
      <c r="C215" s="20">
        <v>35400</v>
      </c>
      <c r="D215" s="20">
        <v>15000</v>
      </c>
      <c r="E215" s="20">
        <v>29250</v>
      </c>
      <c r="F215" s="20">
        <v>42800</v>
      </c>
      <c r="G215" s="14">
        <f t="shared" si="19"/>
        <v>1.2499999999999956E-2</v>
      </c>
      <c r="H215" s="14">
        <f t="shared" si="20"/>
        <v>1.5781922525107683E-2</v>
      </c>
      <c r="I215" s="14">
        <f t="shared" si="21"/>
        <v>3.4482758620689724E-2</v>
      </c>
      <c r="J215" s="14">
        <f t="shared" si="22"/>
        <v>3.7234042553191404E-2</v>
      </c>
      <c r="K215" s="14">
        <f t="shared" si="23"/>
        <v>1.4218009478673022E-2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35">
      <c r="A216" s="12">
        <v>44685</v>
      </c>
      <c r="B216" s="20">
        <v>16000</v>
      </c>
      <c r="C216" s="20">
        <v>34850</v>
      </c>
      <c r="D216" s="20">
        <v>14500</v>
      </c>
      <c r="E216" s="20">
        <v>28200</v>
      </c>
      <c r="F216" s="20">
        <v>42200</v>
      </c>
      <c r="G216" s="14">
        <f t="shared" si="19"/>
        <v>-6.2111801242236142E-3</v>
      </c>
      <c r="H216" s="14">
        <f t="shared" si="20"/>
        <v>-2.5174825174825166E-2</v>
      </c>
      <c r="I216" s="14">
        <f t="shared" si="21"/>
        <v>-6.8493150684931781E-3</v>
      </c>
      <c r="J216" s="14">
        <f t="shared" si="22"/>
        <v>-4.4067796610169463E-2</v>
      </c>
      <c r="K216" s="14">
        <f t="shared" si="23"/>
        <v>-3.4324942791762014E-2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35">
      <c r="A217" s="12">
        <v>44680</v>
      </c>
      <c r="B217" s="20">
        <v>16100</v>
      </c>
      <c r="C217" s="20">
        <v>35750</v>
      </c>
      <c r="D217" s="20">
        <v>14600</v>
      </c>
      <c r="E217" s="20">
        <v>29500</v>
      </c>
      <c r="F217" s="20">
        <v>43700</v>
      </c>
      <c r="G217" s="14">
        <f t="shared" si="19"/>
        <v>-1.2269938650306789E-2</v>
      </c>
      <c r="H217" s="14">
        <f t="shared" si="20"/>
        <v>1.5625E-2</v>
      </c>
      <c r="I217" s="14">
        <f t="shared" si="21"/>
        <v>-3.9473684210526327E-2</v>
      </c>
      <c r="J217" s="14">
        <f t="shared" si="22"/>
        <v>0</v>
      </c>
      <c r="K217" s="14">
        <f t="shared" si="23"/>
        <v>-2.0179372197309364E-2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35">
      <c r="A218" s="12">
        <v>44679</v>
      </c>
      <c r="B218" s="20">
        <v>16300</v>
      </c>
      <c r="C218" s="20">
        <v>35200</v>
      </c>
      <c r="D218" s="20">
        <v>15200</v>
      </c>
      <c r="E218" s="20">
        <v>29500</v>
      </c>
      <c r="F218" s="20">
        <v>44600</v>
      </c>
      <c r="G218" s="14">
        <f t="shared" si="19"/>
        <v>-6.0975609756097615E-3</v>
      </c>
      <c r="H218" s="14">
        <f t="shared" si="20"/>
        <v>-5.6497175141242417E-3</v>
      </c>
      <c r="I218" s="14">
        <f t="shared" si="21"/>
        <v>2.7027027027026973E-2</v>
      </c>
      <c r="J218" s="14">
        <f t="shared" si="22"/>
        <v>-2.3178807947019875E-2</v>
      </c>
      <c r="K218" s="14">
        <f t="shared" si="23"/>
        <v>4.4496487119437989E-2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35">
      <c r="A219" s="12">
        <v>44678</v>
      </c>
      <c r="B219" s="20">
        <v>16400</v>
      </c>
      <c r="C219" s="20">
        <v>35400</v>
      </c>
      <c r="D219" s="20">
        <v>14800</v>
      </c>
      <c r="E219" s="20">
        <v>30200</v>
      </c>
      <c r="F219" s="20">
        <v>42700</v>
      </c>
      <c r="G219" s="14">
        <f t="shared" si="19"/>
        <v>1.8633540372670732E-2</v>
      </c>
      <c r="H219" s="14">
        <f t="shared" si="20"/>
        <v>1.4144271570013522E-3</v>
      </c>
      <c r="I219" s="14">
        <f t="shared" si="21"/>
        <v>4.2253521126760507E-2</v>
      </c>
      <c r="J219" s="14">
        <f t="shared" si="22"/>
        <v>-2.7375201288244777E-2</v>
      </c>
      <c r="K219" s="14">
        <f t="shared" si="23"/>
        <v>-2.9545454545454541E-2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35">
      <c r="A220" s="12">
        <v>44677</v>
      </c>
      <c r="B220" s="20">
        <v>16100</v>
      </c>
      <c r="C220" s="20">
        <v>35350</v>
      </c>
      <c r="D220" s="20">
        <v>14200</v>
      </c>
      <c r="E220" s="20">
        <v>31050</v>
      </c>
      <c r="F220" s="20">
        <v>44000</v>
      </c>
      <c r="G220" s="14">
        <f t="shared" si="19"/>
        <v>6.2500000000000888E-3</v>
      </c>
      <c r="H220" s="14">
        <f t="shared" si="20"/>
        <v>-1.5320334261838431E-2</v>
      </c>
      <c r="I220" s="14">
        <f t="shared" si="21"/>
        <v>5.9701492537313383E-2</v>
      </c>
      <c r="J220" s="14">
        <f t="shared" si="22"/>
        <v>4.8543689320388328E-3</v>
      </c>
      <c r="K220" s="14">
        <f t="shared" si="23"/>
        <v>-2.0044543429844075E-2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35">
      <c r="A221" s="12">
        <v>44676</v>
      </c>
      <c r="B221" s="20">
        <v>16000</v>
      </c>
      <c r="C221" s="20">
        <v>35900</v>
      </c>
      <c r="D221" s="20">
        <v>13400</v>
      </c>
      <c r="E221" s="20">
        <v>30900</v>
      </c>
      <c r="F221" s="20">
        <v>44900</v>
      </c>
      <c r="G221" s="14">
        <f t="shared" si="19"/>
        <v>0</v>
      </c>
      <c r="H221" s="14">
        <f t="shared" si="20"/>
        <v>-1.7783857729138153E-2</v>
      </c>
      <c r="I221" s="14">
        <f t="shared" si="21"/>
        <v>-2.8985507246376829E-2</v>
      </c>
      <c r="J221" s="14">
        <f t="shared" si="22"/>
        <v>-9.6153846153845812E-3</v>
      </c>
      <c r="K221" s="14">
        <f t="shared" si="23"/>
        <v>-3.3369214208826659E-2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35">
      <c r="A222" s="12">
        <v>44673</v>
      </c>
      <c r="B222" s="20">
        <v>16000</v>
      </c>
      <c r="C222" s="20">
        <v>36550</v>
      </c>
      <c r="D222" s="20">
        <v>13800</v>
      </c>
      <c r="E222" s="20">
        <v>31200</v>
      </c>
      <c r="F222" s="20">
        <v>46450</v>
      </c>
      <c r="G222" s="14">
        <f t="shared" si="19"/>
        <v>1.9108280254777066E-2</v>
      </c>
      <c r="H222" s="14">
        <f t="shared" si="20"/>
        <v>0</v>
      </c>
      <c r="I222" s="14">
        <f t="shared" si="21"/>
        <v>-1.4285714285714235E-2</v>
      </c>
      <c r="J222" s="14">
        <f t="shared" si="22"/>
        <v>4.6979865771812124E-2</v>
      </c>
      <c r="K222" s="14">
        <f t="shared" si="23"/>
        <v>5.4112554112553113E-3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35">
      <c r="A223" s="12">
        <v>44672</v>
      </c>
      <c r="B223" s="20">
        <v>15700</v>
      </c>
      <c r="C223" s="20">
        <v>36550</v>
      </c>
      <c r="D223" s="20">
        <v>14000</v>
      </c>
      <c r="E223" s="20">
        <v>29800</v>
      </c>
      <c r="F223" s="20">
        <v>46200</v>
      </c>
      <c r="G223" s="14">
        <f t="shared" si="19"/>
        <v>-1.2578616352201255E-2</v>
      </c>
      <c r="H223" s="14">
        <f t="shared" si="20"/>
        <v>2.3809523809523725E-2</v>
      </c>
      <c r="I223" s="14">
        <f t="shared" si="21"/>
        <v>-7.0921985815602939E-3</v>
      </c>
      <c r="J223" s="14">
        <f t="shared" si="22"/>
        <v>6.7567567567567988E-3</v>
      </c>
      <c r="K223" s="14">
        <f t="shared" si="23"/>
        <v>2.6666666666666616E-2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35">
      <c r="A224" s="12">
        <v>44671</v>
      </c>
      <c r="B224" s="20">
        <v>15900</v>
      </c>
      <c r="C224" s="20">
        <v>35700</v>
      </c>
      <c r="D224" s="20">
        <v>14100</v>
      </c>
      <c r="E224" s="20">
        <v>29600</v>
      </c>
      <c r="F224" s="20">
        <v>45000</v>
      </c>
      <c r="G224" s="14">
        <f t="shared" si="19"/>
        <v>3.2467532467532534E-2</v>
      </c>
      <c r="H224" s="14">
        <f t="shared" si="20"/>
        <v>0</v>
      </c>
      <c r="I224" s="14">
        <f t="shared" si="21"/>
        <v>5.2238805970149294E-2</v>
      </c>
      <c r="J224" s="14">
        <f t="shared" si="22"/>
        <v>3.3898305084745228E-3</v>
      </c>
      <c r="K224" s="14">
        <f t="shared" si="23"/>
        <v>1.1235955056179803E-2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35">
      <c r="A225" s="12">
        <v>44670</v>
      </c>
      <c r="B225" s="20">
        <v>15400</v>
      </c>
      <c r="C225" s="20">
        <v>35700</v>
      </c>
      <c r="D225" s="20">
        <v>13400</v>
      </c>
      <c r="E225" s="20">
        <v>29500</v>
      </c>
      <c r="F225" s="20">
        <v>44500</v>
      </c>
      <c r="G225" s="14">
        <f t="shared" si="19"/>
        <v>2.6666666666666616E-2</v>
      </c>
      <c r="H225" s="14">
        <f t="shared" si="20"/>
        <v>2.0000000000000018E-2</v>
      </c>
      <c r="I225" s="14">
        <f t="shared" si="21"/>
        <v>4.6875E-2</v>
      </c>
      <c r="J225" s="14">
        <f t="shared" si="22"/>
        <v>-5.0590219224283528E-3</v>
      </c>
      <c r="K225" s="14">
        <f t="shared" si="23"/>
        <v>6.2052505966587068E-2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35">
      <c r="A226" s="12">
        <v>44669</v>
      </c>
      <c r="B226" s="20">
        <v>15000</v>
      </c>
      <c r="C226" s="20">
        <v>35000</v>
      </c>
      <c r="D226" s="20">
        <v>12800</v>
      </c>
      <c r="E226" s="20">
        <v>29650</v>
      </c>
      <c r="F226" s="20">
        <v>41900</v>
      </c>
      <c r="G226" s="14">
        <f t="shared" si="19"/>
        <v>-2.5974025974025983E-2</v>
      </c>
      <c r="H226" s="14">
        <f t="shared" si="20"/>
        <v>-3.4482758620689613E-2</v>
      </c>
      <c r="I226" s="14">
        <f t="shared" si="21"/>
        <v>-3.0303030303030276E-2</v>
      </c>
      <c r="J226" s="14">
        <f t="shared" si="22"/>
        <v>-2.4671052631578982E-2</v>
      </c>
      <c r="K226" s="14">
        <f t="shared" si="23"/>
        <v>-1.1792452830188704E-2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35">
      <c r="A227" s="12">
        <v>44666</v>
      </c>
      <c r="B227" s="20">
        <v>15400</v>
      </c>
      <c r="C227" s="20">
        <v>36250</v>
      </c>
      <c r="D227" s="20">
        <v>13200</v>
      </c>
      <c r="E227" s="20">
        <v>30400</v>
      </c>
      <c r="F227" s="20">
        <v>42400</v>
      </c>
      <c r="G227" s="14">
        <f t="shared" si="19"/>
        <v>6.5359477124182774E-3</v>
      </c>
      <c r="H227" s="14">
        <f t="shared" si="20"/>
        <v>-9.5628415300545999E-3</v>
      </c>
      <c r="I227" s="14">
        <f t="shared" si="21"/>
        <v>3.125E-2</v>
      </c>
      <c r="J227" s="14">
        <f t="shared" si="22"/>
        <v>3.3003300330032292E-3</v>
      </c>
      <c r="K227" s="14">
        <f t="shared" si="23"/>
        <v>3.4146341463414664E-2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35">
      <c r="A228" s="12">
        <v>44665</v>
      </c>
      <c r="B228" s="20">
        <v>15300</v>
      </c>
      <c r="C228" s="20">
        <v>36600</v>
      </c>
      <c r="D228" s="20">
        <v>12800</v>
      </c>
      <c r="E228" s="20">
        <v>30300</v>
      </c>
      <c r="F228" s="20">
        <v>41000</v>
      </c>
      <c r="G228" s="14">
        <f t="shared" si="19"/>
        <v>-1.2903225806451646E-2</v>
      </c>
      <c r="H228" s="14">
        <f t="shared" si="20"/>
        <v>2.8089887640449396E-2</v>
      </c>
      <c r="I228" s="14">
        <f t="shared" si="21"/>
        <v>6.6666666666666652E-2</v>
      </c>
      <c r="J228" s="14">
        <f t="shared" si="22"/>
        <v>-9.8039215686274161E-3</v>
      </c>
      <c r="K228" s="14">
        <f t="shared" si="23"/>
        <v>-6.0606060606060996E-3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35">
      <c r="A229" s="12">
        <v>44664</v>
      </c>
      <c r="B229" s="20">
        <v>15500</v>
      </c>
      <c r="C229" s="20">
        <v>35600</v>
      </c>
      <c r="D229" s="20">
        <v>12000</v>
      </c>
      <c r="E229" s="20">
        <v>30600</v>
      </c>
      <c r="F229" s="20">
        <v>41250</v>
      </c>
      <c r="G229" s="14">
        <f t="shared" si="19"/>
        <v>6.4935064935065512E-3</v>
      </c>
      <c r="H229" s="14">
        <f t="shared" si="20"/>
        <v>-1.5214384508990264E-2</v>
      </c>
      <c r="I229" s="14">
        <f t="shared" si="21"/>
        <v>6.1946902654867353E-2</v>
      </c>
      <c r="J229" s="14">
        <f t="shared" si="22"/>
        <v>8.2372322899506578E-3</v>
      </c>
      <c r="K229" s="14">
        <f t="shared" si="23"/>
        <v>8.5574572127138371E-3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35">
      <c r="A230" s="12">
        <v>44663</v>
      </c>
      <c r="B230" s="20">
        <v>15400</v>
      </c>
      <c r="C230" s="20">
        <v>36150</v>
      </c>
      <c r="D230" s="20">
        <v>11300</v>
      </c>
      <c r="E230" s="20">
        <v>30350</v>
      </c>
      <c r="F230" s="20">
        <v>40900</v>
      </c>
      <c r="G230" s="14">
        <f t="shared" si="19"/>
        <v>0</v>
      </c>
      <c r="H230" s="14">
        <f t="shared" si="20"/>
        <v>-3.7283621837549963E-2</v>
      </c>
      <c r="I230" s="14">
        <f t="shared" si="21"/>
        <v>-8.7719298245614308E-3</v>
      </c>
      <c r="J230" s="14">
        <f t="shared" si="22"/>
        <v>-1.4610389610389629E-2</v>
      </c>
      <c r="K230" s="14">
        <f t="shared" si="23"/>
        <v>-1.918465227817745E-2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35">
      <c r="A231" s="12">
        <v>44659</v>
      </c>
      <c r="B231" s="20">
        <v>15400</v>
      </c>
      <c r="C231" s="20">
        <v>37550</v>
      </c>
      <c r="D231" s="20">
        <v>11400</v>
      </c>
      <c r="E231" s="20">
        <v>30800</v>
      </c>
      <c r="F231" s="20">
        <v>41700</v>
      </c>
      <c r="G231" s="14">
        <f t="shared" si="19"/>
        <v>4.7619047619047672E-2</v>
      </c>
      <c r="H231" s="14">
        <f t="shared" si="20"/>
        <v>6.7024128686326012E-3</v>
      </c>
      <c r="I231" s="14">
        <f t="shared" si="21"/>
        <v>0</v>
      </c>
      <c r="J231" s="14">
        <f t="shared" si="22"/>
        <v>0</v>
      </c>
      <c r="K231" s="14">
        <f t="shared" si="23"/>
        <v>5.7034220532319324E-2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35">
      <c r="A232" s="12">
        <v>44658</v>
      </c>
      <c r="B232" s="20">
        <v>14700</v>
      </c>
      <c r="C232" s="20">
        <v>37300</v>
      </c>
      <c r="D232" s="20">
        <v>11400</v>
      </c>
      <c r="E232" s="20">
        <v>30800</v>
      </c>
      <c r="F232" s="20">
        <v>39450</v>
      </c>
      <c r="G232" s="14">
        <f t="shared" si="19"/>
        <v>-1.3422818791946289E-2</v>
      </c>
      <c r="H232" s="14">
        <f t="shared" si="20"/>
        <v>-1.5831134564643801E-2</v>
      </c>
      <c r="I232" s="14">
        <f t="shared" si="21"/>
        <v>4.587155963302747E-2</v>
      </c>
      <c r="J232" s="14">
        <f t="shared" si="22"/>
        <v>1.1494252873563315E-2</v>
      </c>
      <c r="K232" s="14">
        <f t="shared" si="23"/>
        <v>3.8167938931297218E-3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35">
      <c r="A233" s="12">
        <v>44657</v>
      </c>
      <c r="B233" s="20">
        <v>14900</v>
      </c>
      <c r="C233" s="20">
        <v>37900</v>
      </c>
      <c r="D233" s="20">
        <v>10900</v>
      </c>
      <c r="E233" s="20">
        <v>30450</v>
      </c>
      <c r="F233" s="20">
        <v>39300</v>
      </c>
      <c r="G233" s="14">
        <f t="shared" si="19"/>
        <v>1.3605442176870763E-2</v>
      </c>
      <c r="H233" s="14">
        <f t="shared" si="20"/>
        <v>4.8409405255878335E-2</v>
      </c>
      <c r="I233" s="14">
        <f t="shared" si="21"/>
        <v>-9.0909090909090384E-3</v>
      </c>
      <c r="J233" s="14">
        <f t="shared" si="22"/>
        <v>4.9504950495049549E-3</v>
      </c>
      <c r="K233" s="14">
        <f t="shared" si="23"/>
        <v>1.0282776349614497E-2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35">
      <c r="A234" s="12">
        <v>44656</v>
      </c>
      <c r="B234" s="20">
        <v>14700</v>
      </c>
      <c r="C234" s="20">
        <v>36150</v>
      </c>
      <c r="D234" s="20">
        <v>11000</v>
      </c>
      <c r="E234" s="20">
        <v>30300</v>
      </c>
      <c r="F234" s="20">
        <v>38900</v>
      </c>
      <c r="G234" s="14">
        <f t="shared" si="19"/>
        <v>-2.0000000000000018E-2</v>
      </c>
      <c r="H234" s="14">
        <f t="shared" si="20"/>
        <v>-1.3812154696132284E-3</v>
      </c>
      <c r="I234" s="14">
        <f t="shared" si="21"/>
        <v>-9.009009009009028E-3</v>
      </c>
      <c r="J234" s="14">
        <f t="shared" si="22"/>
        <v>2.020202020202011E-2</v>
      </c>
      <c r="K234" s="14">
        <f t="shared" si="23"/>
        <v>-7.6530612244898322E-3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35">
      <c r="A235" s="12">
        <v>44655</v>
      </c>
      <c r="B235" s="20">
        <v>15000</v>
      </c>
      <c r="C235" s="20">
        <v>36200</v>
      </c>
      <c r="D235" s="20">
        <v>11100</v>
      </c>
      <c r="E235" s="20">
        <v>29700</v>
      </c>
      <c r="F235" s="20">
        <v>39200</v>
      </c>
      <c r="G235" s="14">
        <f t="shared" si="19"/>
        <v>-6.6225165562914245E-3</v>
      </c>
      <c r="H235" s="14">
        <f t="shared" si="20"/>
        <v>-2.7548209366391463E-3</v>
      </c>
      <c r="I235" s="14">
        <f t="shared" si="21"/>
        <v>0</v>
      </c>
      <c r="J235" s="14">
        <f t="shared" si="22"/>
        <v>2.0618556701030855E-2</v>
      </c>
      <c r="K235" s="14">
        <f t="shared" si="23"/>
        <v>7.7120822622107621E-3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35">
      <c r="A236" s="12">
        <v>44652</v>
      </c>
      <c r="B236" s="20">
        <v>15100</v>
      </c>
      <c r="C236" s="20">
        <v>36300</v>
      </c>
      <c r="D236" s="20">
        <v>11100</v>
      </c>
      <c r="E236" s="20">
        <v>29100</v>
      </c>
      <c r="F236" s="20">
        <v>38900</v>
      </c>
      <c r="G236" s="14">
        <f t="shared" si="19"/>
        <v>-6.5789473684210176E-3</v>
      </c>
      <c r="H236" s="14">
        <f t="shared" si="20"/>
        <v>6.9219440353460948E-2</v>
      </c>
      <c r="I236" s="14">
        <f t="shared" si="21"/>
        <v>0</v>
      </c>
      <c r="J236" s="14">
        <f t="shared" si="22"/>
        <v>1.7482517482517501E-2</v>
      </c>
      <c r="K236" s="14">
        <f t="shared" si="23"/>
        <v>-2.1383647798742134E-2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35">
      <c r="A237" s="12">
        <v>44651</v>
      </c>
      <c r="B237" s="20">
        <v>15200</v>
      </c>
      <c r="C237" s="20">
        <v>33950</v>
      </c>
      <c r="D237" s="20">
        <v>11100</v>
      </c>
      <c r="E237" s="20">
        <v>28600</v>
      </c>
      <c r="F237" s="20">
        <v>39750</v>
      </c>
      <c r="G237" s="14">
        <f t="shared" si="19"/>
        <v>2.0134228187919545E-2</v>
      </c>
      <c r="H237" s="14">
        <f t="shared" si="20"/>
        <v>2.9542097488921559E-3</v>
      </c>
      <c r="I237" s="14">
        <f t="shared" si="21"/>
        <v>0</v>
      </c>
      <c r="J237" s="14">
        <f t="shared" si="22"/>
        <v>0</v>
      </c>
      <c r="K237" s="14">
        <f t="shared" si="23"/>
        <v>-3.7593984962406291E-3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35">
      <c r="A238" s="12">
        <v>44650</v>
      </c>
      <c r="B238" s="20">
        <v>14900</v>
      </c>
      <c r="C238" s="20">
        <v>33850</v>
      </c>
      <c r="D238" s="20">
        <v>11100</v>
      </c>
      <c r="E238" s="20">
        <v>28600</v>
      </c>
      <c r="F238" s="20">
        <v>39900</v>
      </c>
      <c r="G238" s="14">
        <f t="shared" si="19"/>
        <v>6.7567567567567988E-3</v>
      </c>
      <c r="H238" s="14">
        <f t="shared" si="20"/>
        <v>-8.7847730600292273E-3</v>
      </c>
      <c r="I238" s="14">
        <f t="shared" si="21"/>
        <v>0</v>
      </c>
      <c r="J238" s="14">
        <f t="shared" si="22"/>
        <v>-3.4843205574912606E-3</v>
      </c>
      <c r="K238" s="14">
        <f t="shared" si="23"/>
        <v>6.3051702395964249E-3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35">
      <c r="A239" s="12">
        <v>44649</v>
      </c>
      <c r="B239" s="20">
        <v>14800</v>
      </c>
      <c r="C239" s="20">
        <v>34150</v>
      </c>
      <c r="D239" s="20">
        <v>11100</v>
      </c>
      <c r="E239" s="20">
        <v>28700</v>
      </c>
      <c r="F239" s="20">
        <v>39650</v>
      </c>
      <c r="G239" s="14">
        <f t="shared" si="19"/>
        <v>0</v>
      </c>
      <c r="H239" s="14">
        <f t="shared" si="20"/>
        <v>-1.0144927536231862E-2</v>
      </c>
      <c r="I239" s="14">
        <f t="shared" si="21"/>
        <v>-8.9285714285713969E-3</v>
      </c>
      <c r="J239" s="14">
        <f t="shared" si="22"/>
        <v>3.4965034965035446E-3</v>
      </c>
      <c r="K239" s="14">
        <f t="shared" si="23"/>
        <v>3.7958115183245988E-2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35">
      <c r="A240" s="12">
        <v>44648</v>
      </c>
      <c r="B240" s="20">
        <v>14800</v>
      </c>
      <c r="C240" s="20">
        <v>34500</v>
      </c>
      <c r="D240" s="20">
        <v>11200</v>
      </c>
      <c r="E240" s="20">
        <v>28600</v>
      </c>
      <c r="F240" s="20">
        <v>38200</v>
      </c>
      <c r="G240" s="14">
        <f t="shared" si="19"/>
        <v>-5.7324840764331197E-2</v>
      </c>
      <c r="H240" s="14">
        <f t="shared" si="20"/>
        <v>3.9156626506024139E-2</v>
      </c>
      <c r="I240" s="14">
        <f t="shared" si="21"/>
        <v>0</v>
      </c>
      <c r="J240" s="14">
        <f t="shared" si="22"/>
        <v>3.5087719298245723E-3</v>
      </c>
      <c r="K240" s="14">
        <f t="shared" si="23"/>
        <v>2.826379542395685E-2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35">
      <c r="A241" s="12">
        <v>44645</v>
      </c>
      <c r="B241" s="20">
        <v>15700</v>
      </c>
      <c r="C241" s="20">
        <v>33200</v>
      </c>
      <c r="D241" s="20">
        <v>11200</v>
      </c>
      <c r="E241" s="20">
        <v>28500</v>
      </c>
      <c r="F241" s="20">
        <v>37150</v>
      </c>
      <c r="G241" s="14">
        <f t="shared" si="19"/>
        <v>0</v>
      </c>
      <c r="H241" s="14">
        <f t="shared" si="20"/>
        <v>0</v>
      </c>
      <c r="I241" s="14">
        <f t="shared" si="21"/>
        <v>0</v>
      </c>
      <c r="J241" s="14">
        <f t="shared" si="22"/>
        <v>-1.041666666666663E-2</v>
      </c>
      <c r="K241" s="14">
        <f t="shared" si="23"/>
        <v>-6.6844919786096524E-3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35">
      <c r="A242" s="12">
        <v>44644</v>
      </c>
      <c r="B242" s="20">
        <v>15700</v>
      </c>
      <c r="C242" s="20">
        <v>33200</v>
      </c>
      <c r="D242" s="20">
        <v>11200</v>
      </c>
      <c r="E242" s="20">
        <v>28800</v>
      </c>
      <c r="F242" s="20">
        <v>37400</v>
      </c>
      <c r="G242" s="14">
        <f t="shared" si="19"/>
        <v>6.4102564102563875E-3</v>
      </c>
      <c r="H242" s="14">
        <f t="shared" si="20"/>
        <v>0</v>
      </c>
      <c r="I242" s="14">
        <f t="shared" si="21"/>
        <v>2.7522935779816571E-2</v>
      </c>
      <c r="J242" s="14">
        <f t="shared" si="22"/>
        <v>-6.8965517241379448E-3</v>
      </c>
      <c r="K242" s="14">
        <f t="shared" si="23"/>
        <v>-1.0582010582010581E-2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35">
      <c r="A243" s="12">
        <v>44643</v>
      </c>
      <c r="B243" s="20">
        <v>15600</v>
      </c>
      <c r="C243" s="20">
        <v>33200</v>
      </c>
      <c r="D243" s="20">
        <v>10900</v>
      </c>
      <c r="E243" s="20">
        <v>29000</v>
      </c>
      <c r="F243" s="20">
        <v>37800</v>
      </c>
      <c r="G243" s="14">
        <f t="shared" si="19"/>
        <v>5.4054054054053946E-2</v>
      </c>
      <c r="H243" s="14">
        <f t="shared" si="20"/>
        <v>1.2195121951219523E-2</v>
      </c>
      <c r="I243" s="14">
        <f t="shared" si="21"/>
        <v>9.2592592592593004E-3</v>
      </c>
      <c r="J243" s="14">
        <f t="shared" si="22"/>
        <v>6.9444444444444198E-3</v>
      </c>
      <c r="K243" s="14">
        <f t="shared" si="23"/>
        <v>2.4390243902439046E-2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35">
      <c r="A244" s="12">
        <v>44642</v>
      </c>
      <c r="B244" s="20">
        <v>14800</v>
      </c>
      <c r="C244" s="20">
        <v>32800</v>
      </c>
      <c r="D244" s="20">
        <v>10800</v>
      </c>
      <c r="E244" s="20">
        <v>28800</v>
      </c>
      <c r="F244" s="20">
        <v>36900</v>
      </c>
      <c r="G244" s="14">
        <f t="shared" si="19"/>
        <v>-1.9867549668874163E-2</v>
      </c>
      <c r="H244" s="14">
        <f t="shared" si="20"/>
        <v>-1.9431988041853532E-2</v>
      </c>
      <c r="I244" s="14">
        <f t="shared" si="21"/>
        <v>0</v>
      </c>
      <c r="J244" s="14">
        <f t="shared" si="22"/>
        <v>-1.0309278350515427E-2</v>
      </c>
      <c r="K244" s="14">
        <f t="shared" si="23"/>
        <v>-2.8947368421052611E-2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35">
      <c r="A245" s="12">
        <v>44641</v>
      </c>
      <c r="B245" s="20">
        <v>15100</v>
      </c>
      <c r="C245" s="20">
        <v>33450</v>
      </c>
      <c r="D245" s="20">
        <v>10800</v>
      </c>
      <c r="E245" s="20">
        <v>29100</v>
      </c>
      <c r="F245" s="20">
        <v>38000</v>
      </c>
      <c r="G245" s="14">
        <f t="shared" si="19"/>
        <v>1.3422818791946289E-2</v>
      </c>
      <c r="H245" s="14">
        <f t="shared" si="20"/>
        <v>7.5301204819278045E-3</v>
      </c>
      <c r="I245" s="14">
        <f t="shared" si="21"/>
        <v>-9.1743119266054496E-3</v>
      </c>
      <c r="J245" s="14">
        <f t="shared" si="22"/>
        <v>0</v>
      </c>
      <c r="K245" s="14">
        <f t="shared" si="23"/>
        <v>1.6042780748663166E-2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35">
      <c r="A246" s="12">
        <v>44638</v>
      </c>
      <c r="B246" s="20">
        <v>14900</v>
      </c>
      <c r="C246" s="20">
        <v>33200</v>
      </c>
      <c r="D246" s="20">
        <v>10900</v>
      </c>
      <c r="E246" s="20">
        <v>29100</v>
      </c>
      <c r="F246" s="20">
        <v>37400</v>
      </c>
      <c r="G246" s="14">
        <f t="shared" si="19"/>
        <v>-6.6666666666667096E-3</v>
      </c>
      <c r="H246" s="14">
        <f t="shared" si="20"/>
        <v>-3.0030030030030463E-3</v>
      </c>
      <c r="I246" s="14">
        <f t="shared" si="21"/>
        <v>0</v>
      </c>
      <c r="J246" s="14">
        <f t="shared" si="22"/>
        <v>-6.8259385665528916E-3</v>
      </c>
      <c r="K246" s="14">
        <f t="shared" si="23"/>
        <v>1.3550135501354976E-2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35">
      <c r="A247" s="12">
        <v>44637</v>
      </c>
      <c r="B247" s="20">
        <v>15000</v>
      </c>
      <c r="C247" s="20">
        <v>33300</v>
      </c>
      <c r="D247" s="20">
        <v>10900</v>
      </c>
      <c r="E247" s="20">
        <v>29300</v>
      </c>
      <c r="F247" s="20">
        <v>36900</v>
      </c>
      <c r="G247" s="14">
        <f t="shared" si="19"/>
        <v>4.8951048951048959E-2</v>
      </c>
      <c r="H247" s="14">
        <f t="shared" si="20"/>
        <v>1.8348623853210899E-2</v>
      </c>
      <c r="I247" s="14">
        <f t="shared" si="21"/>
        <v>9.2592592592593004E-3</v>
      </c>
      <c r="J247" s="14">
        <f t="shared" si="22"/>
        <v>-6.7796610169491567E-3</v>
      </c>
      <c r="K247" s="14">
        <f t="shared" si="23"/>
        <v>2.4999999999999911E-2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35">
      <c r="A248" s="12">
        <v>44636</v>
      </c>
      <c r="B248" s="20">
        <v>14300</v>
      </c>
      <c r="C248" s="20">
        <v>32700</v>
      </c>
      <c r="D248" s="20">
        <v>10800</v>
      </c>
      <c r="E248" s="20">
        <v>29500</v>
      </c>
      <c r="F248" s="20">
        <v>36000</v>
      </c>
      <c r="G248" s="14">
        <f t="shared" si="19"/>
        <v>4.3795620437956151E-2</v>
      </c>
      <c r="H248" s="14">
        <f t="shared" si="20"/>
        <v>-2.0958083832335328E-2</v>
      </c>
      <c r="I248" s="14">
        <f t="shared" si="21"/>
        <v>1.8867924528301883E-2</v>
      </c>
      <c r="J248" s="14">
        <f t="shared" si="22"/>
        <v>-3.3783783783783994E-3</v>
      </c>
      <c r="K248" s="14">
        <f t="shared" si="23"/>
        <v>-1.6393442622950838E-2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35">
      <c r="A249" s="12">
        <v>44635</v>
      </c>
      <c r="B249" s="20">
        <v>13700</v>
      </c>
      <c r="C249" s="20">
        <v>33400</v>
      </c>
      <c r="D249" s="20">
        <v>10600</v>
      </c>
      <c r="E249" s="20">
        <v>29600</v>
      </c>
      <c r="F249" s="20">
        <v>36600</v>
      </c>
      <c r="G249" s="14">
        <f t="shared" si="19"/>
        <v>1.4814814814814836E-2</v>
      </c>
      <c r="H249" s="14">
        <f t="shared" si="20"/>
        <v>4.5383411580594668E-2</v>
      </c>
      <c r="I249" s="14">
        <f t="shared" si="21"/>
        <v>9.52380952380949E-3</v>
      </c>
      <c r="J249" s="14">
        <f t="shared" si="22"/>
        <v>1.3698630136986356E-2</v>
      </c>
      <c r="K249" s="14">
        <f t="shared" si="23"/>
        <v>6.8613138686131281E-2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35">
      <c r="A250" s="12">
        <v>44634</v>
      </c>
      <c r="B250" s="20">
        <v>13500</v>
      </c>
      <c r="C250" s="20">
        <v>31950</v>
      </c>
      <c r="D250" s="20">
        <v>10500</v>
      </c>
      <c r="E250" s="20">
        <v>29200</v>
      </c>
      <c r="F250" s="20">
        <v>34250</v>
      </c>
      <c r="G250" s="14">
        <f t="shared" si="19"/>
        <v>0</v>
      </c>
      <c r="H250" s="14">
        <f t="shared" si="20"/>
        <v>1.1075949367088667E-2</v>
      </c>
      <c r="I250" s="14">
        <f t="shared" si="21"/>
        <v>0</v>
      </c>
      <c r="J250" s="14">
        <f t="shared" si="22"/>
        <v>-6.8027210884353817E-3</v>
      </c>
      <c r="K250" s="14">
        <f t="shared" si="23"/>
        <v>6.8642745709828423E-2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35">
      <c r="A251" s="12">
        <v>44631</v>
      </c>
      <c r="B251" s="20">
        <v>13500</v>
      </c>
      <c r="C251" s="20">
        <v>31600</v>
      </c>
      <c r="D251" s="20">
        <v>10500</v>
      </c>
      <c r="E251" s="20">
        <v>29400</v>
      </c>
      <c r="F251" s="20">
        <v>32050</v>
      </c>
      <c r="G251" s="14">
        <f t="shared" si="19"/>
        <v>-7.3529411764705621E-3</v>
      </c>
      <c r="H251" s="14">
        <f t="shared" si="20"/>
        <v>6.3694267515923553E-3</v>
      </c>
      <c r="I251" s="14">
        <f t="shared" si="21"/>
        <v>0</v>
      </c>
      <c r="J251" s="14">
        <f t="shared" si="22"/>
        <v>-1.6977928692699651E-3</v>
      </c>
      <c r="K251" s="14">
        <f t="shared" si="23"/>
        <v>1.5847860538827252E-2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35">
      <c r="A252" s="12">
        <v>44630</v>
      </c>
      <c r="B252" s="20">
        <v>13600</v>
      </c>
      <c r="C252" s="20">
        <v>31400</v>
      </c>
      <c r="D252" s="20">
        <v>10500</v>
      </c>
      <c r="E252" s="20">
        <v>29450</v>
      </c>
      <c r="F252" s="20">
        <v>31550</v>
      </c>
      <c r="G252" s="14">
        <f t="shared" si="19"/>
        <v>1.4925373134328401E-2</v>
      </c>
      <c r="H252" s="14">
        <f t="shared" si="20"/>
        <v>3.1198686371100237E-2</v>
      </c>
      <c r="I252" s="14">
        <f t="shared" si="21"/>
        <v>0</v>
      </c>
      <c r="J252" s="14">
        <f t="shared" si="22"/>
        <v>5.1194539249146409E-3</v>
      </c>
      <c r="K252" s="14">
        <f t="shared" si="23"/>
        <v>3.4426229508196737E-2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35">
      <c r="A253" s="12">
        <v>44629</v>
      </c>
      <c r="B253" s="20">
        <v>13400</v>
      </c>
      <c r="C253" s="20">
        <v>30450</v>
      </c>
      <c r="D253" s="20">
        <v>10500</v>
      </c>
      <c r="E253" s="20">
        <v>29300</v>
      </c>
      <c r="F253" s="20">
        <v>30500</v>
      </c>
      <c r="G253" s="14">
        <f t="shared" si="19"/>
        <v>1.5151515151515138E-2</v>
      </c>
      <c r="H253" s="14">
        <f t="shared" si="20"/>
        <v>4.9504950495049549E-3</v>
      </c>
      <c r="I253" s="14">
        <f t="shared" si="21"/>
        <v>0</v>
      </c>
      <c r="J253" s="14">
        <f t="shared" si="22"/>
        <v>3.7168141592920367E-2</v>
      </c>
      <c r="K253" s="14">
        <f t="shared" si="23"/>
        <v>1.6420361247948545E-3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35">
      <c r="A254" s="12">
        <v>44628</v>
      </c>
      <c r="B254" s="20">
        <v>13200</v>
      </c>
      <c r="C254" s="20">
        <v>30300</v>
      </c>
      <c r="D254" s="20">
        <v>10500</v>
      </c>
      <c r="E254" s="20">
        <v>28250</v>
      </c>
      <c r="F254" s="20">
        <v>30450</v>
      </c>
      <c r="G254" s="14">
        <f t="shared" si="19"/>
        <v>1.538461538461533E-2</v>
      </c>
      <c r="H254" s="14">
        <f t="shared" si="20"/>
        <v>3.3112582781456013E-3</v>
      </c>
      <c r="I254" s="14">
        <f t="shared" si="21"/>
        <v>5.0000000000000044E-2</v>
      </c>
      <c r="J254" s="14">
        <f t="shared" si="22"/>
        <v>5.3380782918148739E-3</v>
      </c>
      <c r="K254" s="14">
        <f t="shared" si="23"/>
        <v>-9.7560975609756184E-3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35">
      <c r="A255" s="12">
        <v>44627</v>
      </c>
      <c r="B255" s="20">
        <v>13000</v>
      </c>
      <c r="C255" s="20">
        <v>30200</v>
      </c>
      <c r="D255" s="20">
        <v>10000</v>
      </c>
      <c r="E255" s="20">
        <v>28100</v>
      </c>
      <c r="F255" s="20">
        <v>30750</v>
      </c>
      <c r="G255" s="14">
        <f t="shared" si="19"/>
        <v>0</v>
      </c>
      <c r="H255" s="14">
        <f t="shared" si="20"/>
        <v>8.3472454090149917E-3</v>
      </c>
      <c r="I255" s="14">
        <f t="shared" si="21"/>
        <v>-9.9009900990099098E-3</v>
      </c>
      <c r="J255" s="14">
        <f t="shared" si="22"/>
        <v>3.5714285714285587E-3</v>
      </c>
      <c r="K255" s="14">
        <f t="shared" si="23"/>
        <v>1.4851485148514865E-2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35">
      <c r="A256" s="12">
        <v>44624</v>
      </c>
      <c r="B256" s="20">
        <v>13000</v>
      </c>
      <c r="C256" s="20">
        <v>29950</v>
      </c>
      <c r="D256" s="20">
        <v>10100</v>
      </c>
      <c r="E256" s="20">
        <v>28000</v>
      </c>
      <c r="F256" s="20">
        <v>30300</v>
      </c>
      <c r="G256" s="14">
        <f t="shared" si="19"/>
        <v>-7.6335877862595547E-3</v>
      </c>
      <c r="H256" s="14">
        <f t="shared" si="20"/>
        <v>-3.3277870216306127E-3</v>
      </c>
      <c r="I256" s="14">
        <f t="shared" si="21"/>
        <v>-1.9417475728155331E-2</v>
      </c>
      <c r="J256" s="14">
        <f t="shared" si="22"/>
        <v>-7.0921985815602939E-3</v>
      </c>
      <c r="K256" s="14">
        <f t="shared" si="23"/>
        <v>4.663212435233155E-2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35">
      <c r="A257" s="12">
        <v>44623</v>
      </c>
      <c r="B257" s="20">
        <v>13100</v>
      </c>
      <c r="C257" s="20">
        <v>30050</v>
      </c>
      <c r="D257" s="20">
        <v>10300</v>
      </c>
      <c r="E257" s="20">
        <v>28200</v>
      </c>
      <c r="F257" s="20">
        <v>28950</v>
      </c>
      <c r="G257" s="14">
        <f t="shared" si="19"/>
        <v>-2.2388059701492491E-2</v>
      </c>
      <c r="H257" s="14">
        <f t="shared" si="20"/>
        <v>-3.839999999999999E-2</v>
      </c>
      <c r="I257" s="14">
        <f t="shared" si="21"/>
        <v>-9.6153846153845812E-3</v>
      </c>
      <c r="J257" s="14">
        <f t="shared" si="22"/>
        <v>-1.7421602787456414E-2</v>
      </c>
      <c r="K257" s="14">
        <f t="shared" si="23"/>
        <v>-2.5252525252525304E-2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35">
      <c r="A258" s="12">
        <v>44622</v>
      </c>
      <c r="B258" s="20">
        <v>13400</v>
      </c>
      <c r="C258" s="20">
        <v>31250</v>
      </c>
      <c r="D258" s="20">
        <v>10400</v>
      </c>
      <c r="E258" s="20">
        <v>28700</v>
      </c>
      <c r="F258" s="20">
        <v>29700</v>
      </c>
      <c r="G258" s="14">
        <f t="shared" si="19"/>
        <v>-7.4074074074074181E-3</v>
      </c>
      <c r="H258" s="14">
        <f t="shared" si="20"/>
        <v>-2.0376175548589393E-2</v>
      </c>
      <c r="I258" s="14">
        <f t="shared" si="21"/>
        <v>-1.8867924528301883E-2</v>
      </c>
      <c r="J258" s="14">
        <f t="shared" si="22"/>
        <v>-1.0344827586206917E-2</v>
      </c>
      <c r="K258" s="14">
        <f t="shared" si="23"/>
        <v>5.0761421319795996E-3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35">
      <c r="A259" s="12">
        <v>44621</v>
      </c>
      <c r="B259" s="20">
        <v>13500</v>
      </c>
      <c r="C259" s="20">
        <v>31900</v>
      </c>
      <c r="D259" s="20">
        <v>10600</v>
      </c>
      <c r="E259" s="20">
        <v>29000</v>
      </c>
      <c r="F259" s="20">
        <v>29550</v>
      </c>
      <c r="G259" s="14">
        <f t="shared" si="19"/>
        <v>-2.877697841726623E-2</v>
      </c>
      <c r="H259" s="14">
        <f t="shared" si="20"/>
        <v>1.9169329073482455E-2</v>
      </c>
      <c r="I259" s="14">
        <f t="shared" si="21"/>
        <v>-1.851851851851849E-2</v>
      </c>
      <c r="J259" s="14">
        <f t="shared" si="22"/>
        <v>-1.0238907849829393E-2</v>
      </c>
      <c r="K259" s="14">
        <f t="shared" si="23"/>
        <v>6.8716094032549746E-2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35">
      <c r="A260" s="12">
        <v>44620</v>
      </c>
      <c r="B260" s="20">
        <v>13900</v>
      </c>
      <c r="C260" s="20">
        <v>31300</v>
      </c>
      <c r="D260" s="20">
        <v>10800</v>
      </c>
      <c r="E260" s="20">
        <v>29300</v>
      </c>
      <c r="F260" s="20">
        <v>27650</v>
      </c>
      <c r="G260" s="14">
        <f t="shared" si="19"/>
        <v>-7.1428571428571175E-3</v>
      </c>
      <c r="H260" s="14">
        <f t="shared" si="20"/>
        <v>9.6774193548387899E-3</v>
      </c>
      <c r="I260" s="14">
        <f t="shared" si="21"/>
        <v>1.8867924528301883E-2</v>
      </c>
      <c r="J260" s="14">
        <f t="shared" si="22"/>
        <v>0</v>
      </c>
      <c r="K260" s="14">
        <f t="shared" si="23"/>
        <v>-1.8050541516245744E-3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35">
      <c r="A261" s="12">
        <v>44617</v>
      </c>
      <c r="B261" s="20">
        <v>14000</v>
      </c>
      <c r="C261" s="20">
        <v>31000</v>
      </c>
      <c r="D261" s="20">
        <v>10600</v>
      </c>
      <c r="E261" s="20">
        <v>29300</v>
      </c>
      <c r="F261" s="20">
        <v>27700</v>
      </c>
      <c r="G261" s="14">
        <f t="shared" ref="G261:G324" si="24">B261/B262-1</f>
        <v>7.194244604316502E-3</v>
      </c>
      <c r="H261" s="14">
        <f t="shared" ref="H261:H324" si="25">C261/C262-1</f>
        <v>-9.5846645367412275E-3</v>
      </c>
      <c r="I261" s="14">
        <f t="shared" ref="I261:I324" si="26">D261/D262-1</f>
        <v>-2.752293577981646E-2</v>
      </c>
      <c r="J261" s="14">
        <f t="shared" ref="J261:J324" si="27">E261/E262-1</f>
        <v>3.424657534246478E-3</v>
      </c>
      <c r="K261" s="14">
        <f t="shared" ref="K261:K324" si="28">F261/F262-1</f>
        <v>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35">
      <c r="A262" s="12">
        <v>44616</v>
      </c>
      <c r="B262" s="20">
        <v>13900</v>
      </c>
      <c r="C262" s="20">
        <v>31300</v>
      </c>
      <c r="D262" s="20">
        <v>10900</v>
      </c>
      <c r="E262" s="20">
        <v>29200</v>
      </c>
      <c r="F262" s="20">
        <v>27700</v>
      </c>
      <c r="G262" s="14">
        <f t="shared" si="24"/>
        <v>-2.1126760563380254E-2</v>
      </c>
      <c r="H262" s="14">
        <f t="shared" si="25"/>
        <v>-6.3492063492063266E-3</v>
      </c>
      <c r="I262" s="14">
        <f t="shared" si="26"/>
        <v>-1.8018018018018056E-2</v>
      </c>
      <c r="J262" s="14">
        <f t="shared" si="27"/>
        <v>0</v>
      </c>
      <c r="K262" s="14">
        <f t="shared" si="28"/>
        <v>-1.0714285714285676E-2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35">
      <c r="A263" s="12">
        <v>44615</v>
      </c>
      <c r="B263" s="20">
        <v>14200</v>
      </c>
      <c r="C263" s="20">
        <v>31500</v>
      </c>
      <c r="D263" s="20">
        <v>11100</v>
      </c>
      <c r="E263" s="20">
        <v>29200</v>
      </c>
      <c r="F263" s="20">
        <v>28000</v>
      </c>
      <c r="G263" s="14">
        <f t="shared" si="24"/>
        <v>2.1582733812949728E-2</v>
      </c>
      <c r="H263" s="14">
        <f t="shared" si="25"/>
        <v>3.2786885245901676E-2</v>
      </c>
      <c r="I263" s="14">
        <f t="shared" si="26"/>
        <v>-8.9285714285713969E-3</v>
      </c>
      <c r="J263" s="14">
        <f t="shared" si="27"/>
        <v>-3.4129692832765013E-3</v>
      </c>
      <c r="K263" s="14">
        <f t="shared" si="28"/>
        <v>3.3210332103321027E-2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35">
      <c r="A264" s="12">
        <v>44614</v>
      </c>
      <c r="B264" s="20">
        <v>13900</v>
      </c>
      <c r="C264" s="20">
        <v>30500</v>
      </c>
      <c r="D264" s="20">
        <v>11200</v>
      </c>
      <c r="E264" s="20">
        <v>29300</v>
      </c>
      <c r="F264" s="20">
        <v>27100</v>
      </c>
      <c r="G264" s="14">
        <f t="shared" si="24"/>
        <v>0</v>
      </c>
      <c r="H264" s="14">
        <f t="shared" si="25"/>
        <v>-1.6129032258064502E-2</v>
      </c>
      <c r="I264" s="14">
        <f t="shared" si="26"/>
        <v>-8.8495575221239076E-3</v>
      </c>
      <c r="J264" s="14">
        <f t="shared" si="27"/>
        <v>-6.7796610169491567E-3</v>
      </c>
      <c r="K264" s="14">
        <f t="shared" si="28"/>
        <v>1.3084112149532645E-2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35">
      <c r="A265" s="12">
        <v>44613</v>
      </c>
      <c r="B265" s="20">
        <v>13900</v>
      </c>
      <c r="C265" s="20">
        <v>31000</v>
      </c>
      <c r="D265" s="20">
        <v>11300</v>
      </c>
      <c r="E265" s="20">
        <v>29500</v>
      </c>
      <c r="F265" s="20">
        <v>26750</v>
      </c>
      <c r="G265" s="14">
        <f t="shared" si="24"/>
        <v>7.2463768115942351E-3</v>
      </c>
      <c r="H265" s="14">
        <f t="shared" si="25"/>
        <v>-1.5873015873015928E-2</v>
      </c>
      <c r="I265" s="14">
        <f t="shared" si="26"/>
        <v>-8.7719298245614308E-3</v>
      </c>
      <c r="J265" s="14">
        <f t="shared" si="27"/>
        <v>-1.3377926421404673E-2</v>
      </c>
      <c r="K265" s="14">
        <f t="shared" si="28"/>
        <v>-5.5762081784386242E-3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35">
      <c r="A266" s="12">
        <v>44610</v>
      </c>
      <c r="B266" s="20">
        <v>13800</v>
      </c>
      <c r="C266" s="20">
        <v>31500</v>
      </c>
      <c r="D266" s="20">
        <v>11400</v>
      </c>
      <c r="E266" s="20">
        <v>29900</v>
      </c>
      <c r="F266" s="20">
        <v>26900</v>
      </c>
      <c r="G266" s="14">
        <f t="shared" si="24"/>
        <v>7.2992700729928028E-3</v>
      </c>
      <c r="H266" s="14">
        <f t="shared" si="25"/>
        <v>-2.6275115919629055E-2</v>
      </c>
      <c r="I266" s="14">
        <f t="shared" si="26"/>
        <v>-8.6956521739129933E-3</v>
      </c>
      <c r="J266" s="14">
        <f t="shared" si="27"/>
        <v>-3.3333333333332993E-3</v>
      </c>
      <c r="K266" s="14">
        <f t="shared" si="28"/>
        <v>-3.7037037037036535E-3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35">
      <c r="A267" s="12">
        <v>44609</v>
      </c>
      <c r="B267" s="20">
        <v>13700</v>
      </c>
      <c r="C267" s="20">
        <v>32350</v>
      </c>
      <c r="D267" s="20">
        <v>11500</v>
      </c>
      <c r="E267" s="20">
        <v>30000</v>
      </c>
      <c r="F267" s="20">
        <v>27000</v>
      </c>
      <c r="G267" s="14">
        <f t="shared" si="24"/>
        <v>0</v>
      </c>
      <c r="H267" s="14">
        <f t="shared" si="25"/>
        <v>-2.8528528528528496E-2</v>
      </c>
      <c r="I267" s="14">
        <f t="shared" si="26"/>
        <v>-8.7301587301587324E-2</v>
      </c>
      <c r="J267" s="14">
        <f t="shared" si="27"/>
        <v>-6.6225165562914245E-3</v>
      </c>
      <c r="K267" s="14">
        <f t="shared" si="28"/>
        <v>-4.2553191489361653E-2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35">
      <c r="A268" s="12">
        <v>44608</v>
      </c>
      <c r="B268" s="20">
        <v>13700</v>
      </c>
      <c r="C268" s="20">
        <v>33300</v>
      </c>
      <c r="D268" s="20">
        <v>12600</v>
      </c>
      <c r="E268" s="20">
        <v>30200</v>
      </c>
      <c r="F268" s="20">
        <v>28200</v>
      </c>
      <c r="G268" s="14">
        <f t="shared" si="24"/>
        <v>0</v>
      </c>
      <c r="H268" s="14">
        <f t="shared" si="25"/>
        <v>1.6793893129771087E-2</v>
      </c>
      <c r="I268" s="14">
        <f t="shared" si="26"/>
        <v>-7.8740157480314821E-3</v>
      </c>
      <c r="J268" s="14">
        <f t="shared" si="27"/>
        <v>6.6666666666665986E-3</v>
      </c>
      <c r="K268" s="14">
        <f t="shared" si="28"/>
        <v>-2.2530329289428108E-2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35">
      <c r="A269" s="12">
        <v>44607</v>
      </c>
      <c r="B269" s="20">
        <v>13700</v>
      </c>
      <c r="C269" s="20">
        <v>32750</v>
      </c>
      <c r="D269" s="20">
        <v>12700</v>
      </c>
      <c r="E269" s="20">
        <v>30000</v>
      </c>
      <c r="F269" s="20">
        <v>28850</v>
      </c>
      <c r="G269" s="14">
        <f t="shared" si="24"/>
        <v>-3.5211267605633756E-2</v>
      </c>
      <c r="H269" s="14">
        <f t="shared" si="25"/>
        <v>-2.3845007451564815E-2</v>
      </c>
      <c r="I269" s="14">
        <f t="shared" si="26"/>
        <v>7.9365079365079083E-3</v>
      </c>
      <c r="J269" s="14">
        <f t="shared" si="27"/>
        <v>-1.1532125205930832E-2</v>
      </c>
      <c r="K269" s="14">
        <f t="shared" si="28"/>
        <v>-1.7301038062284002E-3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35">
      <c r="A270" s="12">
        <v>44606</v>
      </c>
      <c r="B270" s="20">
        <v>14200</v>
      </c>
      <c r="C270" s="20">
        <v>33550</v>
      </c>
      <c r="D270" s="20">
        <v>12600</v>
      </c>
      <c r="E270" s="20">
        <v>30350</v>
      </c>
      <c r="F270" s="20">
        <v>28900</v>
      </c>
      <c r="G270" s="14">
        <f t="shared" si="24"/>
        <v>0</v>
      </c>
      <c r="H270" s="14">
        <f t="shared" si="25"/>
        <v>-1.4880952380952328E-3</v>
      </c>
      <c r="I270" s="14">
        <f t="shared" si="26"/>
        <v>-7.8740157480314821E-3</v>
      </c>
      <c r="J270" s="14">
        <f t="shared" si="27"/>
        <v>0</v>
      </c>
      <c r="K270" s="14">
        <f t="shared" si="28"/>
        <v>3.0303030303030276E-2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35">
      <c r="A271" s="12">
        <v>44603</v>
      </c>
      <c r="B271" s="20">
        <v>14200</v>
      </c>
      <c r="C271" s="20">
        <v>33600</v>
      </c>
      <c r="D271" s="20">
        <v>12700</v>
      </c>
      <c r="E271" s="20">
        <v>30350</v>
      </c>
      <c r="F271" s="20">
        <v>28050</v>
      </c>
      <c r="G271" s="14">
        <f t="shared" si="24"/>
        <v>1.4285714285714235E-2</v>
      </c>
      <c r="H271" s="14">
        <f t="shared" si="25"/>
        <v>-1.7543859649122862E-2</v>
      </c>
      <c r="I271" s="14">
        <f t="shared" si="26"/>
        <v>0</v>
      </c>
      <c r="J271" s="14">
        <f t="shared" si="27"/>
        <v>3.3057851239668423E-3</v>
      </c>
      <c r="K271" s="14">
        <f t="shared" si="28"/>
        <v>-3.5523978685613189E-3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35">
      <c r="A272" s="12">
        <v>44602</v>
      </c>
      <c r="B272" s="20">
        <v>14000</v>
      </c>
      <c r="C272" s="20">
        <v>34200</v>
      </c>
      <c r="D272" s="20">
        <v>12700</v>
      </c>
      <c r="E272" s="20">
        <v>30250</v>
      </c>
      <c r="F272" s="20">
        <v>28150</v>
      </c>
      <c r="G272" s="14">
        <f t="shared" si="24"/>
        <v>-1.4084507042253502E-2</v>
      </c>
      <c r="H272" s="14">
        <f t="shared" si="25"/>
        <v>0</v>
      </c>
      <c r="I272" s="14">
        <f t="shared" si="26"/>
        <v>0</v>
      </c>
      <c r="J272" s="14">
        <f t="shared" si="27"/>
        <v>-6.5681444991789739E-3</v>
      </c>
      <c r="K272" s="14">
        <f t="shared" si="28"/>
        <v>7.1556350626118537E-3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35">
      <c r="A273" s="12">
        <v>44601</v>
      </c>
      <c r="B273" s="20">
        <v>14200</v>
      </c>
      <c r="C273" s="20">
        <v>34200</v>
      </c>
      <c r="D273" s="20">
        <v>12700</v>
      </c>
      <c r="E273" s="20">
        <v>30450</v>
      </c>
      <c r="F273" s="20">
        <v>27950</v>
      </c>
      <c r="G273" s="14">
        <f t="shared" si="24"/>
        <v>0</v>
      </c>
      <c r="H273" s="14">
        <f t="shared" si="25"/>
        <v>5.8823529411764497E-3</v>
      </c>
      <c r="I273" s="14">
        <f t="shared" si="26"/>
        <v>1.6000000000000014E-2</v>
      </c>
      <c r="J273" s="14">
        <f t="shared" si="27"/>
        <v>3.2948929159801743E-3</v>
      </c>
      <c r="K273" s="14">
        <f t="shared" si="28"/>
        <v>1.26811594202898E-2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35">
      <c r="A274" s="12">
        <v>44600</v>
      </c>
      <c r="B274" s="20">
        <v>14200</v>
      </c>
      <c r="C274" s="20">
        <v>34000</v>
      </c>
      <c r="D274" s="20">
        <v>12500</v>
      </c>
      <c r="E274" s="20">
        <v>30350</v>
      </c>
      <c r="F274" s="20">
        <v>27600</v>
      </c>
      <c r="G274" s="14">
        <f t="shared" si="24"/>
        <v>4.4117647058823595E-2</v>
      </c>
      <c r="H274" s="14">
        <f t="shared" si="25"/>
        <v>1.1904761904761862E-2</v>
      </c>
      <c r="I274" s="14">
        <f t="shared" si="26"/>
        <v>8.0645161290322509E-3</v>
      </c>
      <c r="J274" s="14">
        <f t="shared" si="27"/>
        <v>9.9833610648918381E-3</v>
      </c>
      <c r="K274" s="14">
        <f t="shared" si="28"/>
        <v>6.9767441860465018E-2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35">
      <c r="A275" s="12">
        <v>44599</v>
      </c>
      <c r="B275" s="20">
        <v>13600</v>
      </c>
      <c r="C275" s="20">
        <v>33600</v>
      </c>
      <c r="D275" s="20">
        <v>12400</v>
      </c>
      <c r="E275" s="20">
        <v>30050</v>
      </c>
      <c r="F275" s="20">
        <v>25800</v>
      </c>
      <c r="G275" s="14">
        <f t="shared" si="24"/>
        <v>-2.1582733812949617E-2</v>
      </c>
      <c r="H275" s="14">
        <f t="shared" si="25"/>
        <v>-1.6105417276720324E-2</v>
      </c>
      <c r="I275" s="14">
        <f t="shared" si="26"/>
        <v>-8.0000000000000071E-3</v>
      </c>
      <c r="J275" s="14">
        <f t="shared" si="27"/>
        <v>-2.1172638436482094E-2</v>
      </c>
      <c r="K275" s="14">
        <f t="shared" si="28"/>
        <v>3.8910505836575737E-3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35">
      <c r="A276" s="12">
        <v>44589</v>
      </c>
      <c r="B276" s="20">
        <v>13900</v>
      </c>
      <c r="C276" s="20">
        <v>34150</v>
      </c>
      <c r="D276" s="20">
        <v>12500</v>
      </c>
      <c r="E276" s="20">
        <v>30700</v>
      </c>
      <c r="F276" s="20">
        <v>25700</v>
      </c>
      <c r="G276" s="14">
        <f t="shared" si="24"/>
        <v>2.2058823529411686E-2</v>
      </c>
      <c r="H276" s="14">
        <f t="shared" si="25"/>
        <v>0</v>
      </c>
      <c r="I276" s="14">
        <f t="shared" si="26"/>
        <v>2.4590163934426146E-2</v>
      </c>
      <c r="J276" s="14">
        <f t="shared" si="27"/>
        <v>4.2444821731748794E-2</v>
      </c>
      <c r="K276" s="14">
        <f t="shared" si="28"/>
        <v>5.8708414872798986E-3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35">
      <c r="A277" s="12">
        <v>44588</v>
      </c>
      <c r="B277" s="20">
        <v>13600</v>
      </c>
      <c r="C277" s="20">
        <v>34150</v>
      </c>
      <c r="D277" s="20">
        <v>12200</v>
      </c>
      <c r="E277" s="20">
        <v>29450</v>
      </c>
      <c r="F277" s="20">
        <v>25550</v>
      </c>
      <c r="G277" s="14">
        <f t="shared" si="24"/>
        <v>7.4074074074073071E-3</v>
      </c>
      <c r="H277" s="14">
        <f t="shared" si="25"/>
        <v>-1.4619883040936088E-3</v>
      </c>
      <c r="I277" s="14">
        <f t="shared" si="26"/>
        <v>8.2644628099173278E-3</v>
      </c>
      <c r="J277" s="14">
        <f t="shared" si="27"/>
        <v>-1.6949152542372614E-3</v>
      </c>
      <c r="K277" s="14">
        <f t="shared" si="28"/>
        <v>-1.953125E-3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35">
      <c r="A278" s="12">
        <v>44587</v>
      </c>
      <c r="B278" s="20">
        <v>13500</v>
      </c>
      <c r="C278" s="20">
        <v>34200</v>
      </c>
      <c r="D278" s="20">
        <v>12100</v>
      </c>
      <c r="E278" s="20">
        <v>29500</v>
      </c>
      <c r="F278" s="20">
        <v>25600</v>
      </c>
      <c r="G278" s="14">
        <f t="shared" si="24"/>
        <v>-2.877697841726623E-2</v>
      </c>
      <c r="H278" s="14">
        <f t="shared" si="25"/>
        <v>-2.8409090909090939E-2</v>
      </c>
      <c r="I278" s="14">
        <f t="shared" si="26"/>
        <v>3.4188034188034289E-2</v>
      </c>
      <c r="J278" s="14">
        <f t="shared" si="27"/>
        <v>-6.7340067340067034E-3</v>
      </c>
      <c r="K278" s="14">
        <f t="shared" si="28"/>
        <v>-3.0303030303030276E-2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35">
      <c r="A279" s="12">
        <v>44586</v>
      </c>
      <c r="B279" s="20">
        <v>13900</v>
      </c>
      <c r="C279" s="20">
        <v>35200</v>
      </c>
      <c r="D279" s="20">
        <v>11700</v>
      </c>
      <c r="E279" s="20">
        <v>29700</v>
      </c>
      <c r="F279" s="20">
        <v>26400</v>
      </c>
      <c r="G279" s="14">
        <f t="shared" si="24"/>
        <v>2.2058823529411686E-2</v>
      </c>
      <c r="H279" s="14">
        <f t="shared" si="25"/>
        <v>2.9239766081871288E-2</v>
      </c>
      <c r="I279" s="14">
        <f t="shared" si="26"/>
        <v>2.6315789473684292E-2</v>
      </c>
      <c r="J279" s="14">
        <f t="shared" si="27"/>
        <v>-1.6806722689075571E-3</v>
      </c>
      <c r="K279" s="14">
        <f t="shared" si="28"/>
        <v>-1.890359168241984E-3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35">
      <c r="A280" s="12">
        <v>44585</v>
      </c>
      <c r="B280" s="20">
        <v>13600</v>
      </c>
      <c r="C280" s="20">
        <v>34200</v>
      </c>
      <c r="D280" s="20">
        <v>11400</v>
      </c>
      <c r="E280" s="20">
        <v>29750</v>
      </c>
      <c r="F280" s="20">
        <v>26450</v>
      </c>
      <c r="G280" s="14">
        <f t="shared" si="24"/>
        <v>7.4074074074073071E-3</v>
      </c>
      <c r="H280" s="14">
        <f t="shared" si="25"/>
        <v>-2.9154518950437192E-3</v>
      </c>
      <c r="I280" s="14">
        <f t="shared" si="26"/>
        <v>8.8495575221239076E-3</v>
      </c>
      <c r="J280" s="14">
        <f t="shared" si="27"/>
        <v>5.0675675675675436E-3</v>
      </c>
      <c r="K280" s="14">
        <f t="shared" si="28"/>
        <v>1.9267822736030782E-2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35">
      <c r="A281" s="12">
        <v>44582</v>
      </c>
      <c r="B281" s="20">
        <v>13500</v>
      </c>
      <c r="C281" s="20">
        <v>34300</v>
      </c>
      <c r="D281" s="20">
        <v>11300</v>
      </c>
      <c r="E281" s="20">
        <v>29600</v>
      </c>
      <c r="F281" s="20">
        <v>25950</v>
      </c>
      <c r="G281" s="14">
        <f t="shared" si="24"/>
        <v>-7.3529411764705621E-3</v>
      </c>
      <c r="H281" s="14">
        <f t="shared" si="25"/>
        <v>-1.1527377521613813E-2</v>
      </c>
      <c r="I281" s="14">
        <f t="shared" si="26"/>
        <v>-8.7719298245614308E-3</v>
      </c>
      <c r="J281" s="14">
        <f t="shared" si="27"/>
        <v>-6.7114093959731447E-3</v>
      </c>
      <c r="K281" s="14">
        <f t="shared" si="28"/>
        <v>2.3668639053254337E-2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35">
      <c r="A282" s="12">
        <v>44581</v>
      </c>
      <c r="B282" s="20">
        <v>13600</v>
      </c>
      <c r="C282" s="20">
        <v>34700</v>
      </c>
      <c r="D282" s="20">
        <v>11400</v>
      </c>
      <c r="E282" s="20">
        <v>29800</v>
      </c>
      <c r="F282" s="20">
        <v>25350</v>
      </c>
      <c r="G282" s="14">
        <f t="shared" si="24"/>
        <v>7.4074074074073071E-3</v>
      </c>
      <c r="H282" s="14">
        <f t="shared" si="25"/>
        <v>-8.5714285714285632E-3</v>
      </c>
      <c r="I282" s="14">
        <f t="shared" si="26"/>
        <v>8.8495575221239076E-3</v>
      </c>
      <c r="J282" s="14">
        <f t="shared" si="27"/>
        <v>8.4602368866328881E-3</v>
      </c>
      <c r="K282" s="14">
        <f t="shared" si="28"/>
        <v>3.9603960396039639E-3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35">
      <c r="A283" s="12">
        <v>44580</v>
      </c>
      <c r="B283" s="20">
        <v>13500</v>
      </c>
      <c r="C283" s="20">
        <v>35000</v>
      </c>
      <c r="D283" s="20">
        <v>11300</v>
      </c>
      <c r="E283" s="20">
        <v>29550</v>
      </c>
      <c r="F283" s="20">
        <v>25250</v>
      </c>
      <c r="G283" s="14">
        <f t="shared" si="24"/>
        <v>4.6511627906976827E-2</v>
      </c>
      <c r="H283" s="14">
        <f t="shared" si="25"/>
        <v>6.7073170731707377E-2</v>
      </c>
      <c r="I283" s="14">
        <f t="shared" si="26"/>
        <v>-8.7719298245614308E-3</v>
      </c>
      <c r="J283" s="14">
        <f t="shared" si="27"/>
        <v>1.6949152542373724E-3</v>
      </c>
      <c r="K283" s="14">
        <f t="shared" si="28"/>
        <v>1.4056224899598346E-2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35">
      <c r="A284" s="12">
        <v>44579</v>
      </c>
      <c r="B284" s="20">
        <v>12900</v>
      </c>
      <c r="C284" s="20">
        <v>32800</v>
      </c>
      <c r="D284" s="20">
        <v>11400</v>
      </c>
      <c r="E284" s="20">
        <v>29500</v>
      </c>
      <c r="F284" s="20">
        <v>24900</v>
      </c>
      <c r="G284" s="14">
        <f t="shared" si="24"/>
        <v>0</v>
      </c>
      <c r="H284" s="14">
        <f t="shared" si="25"/>
        <v>-3.0395136778115228E-3</v>
      </c>
      <c r="I284" s="14">
        <f t="shared" si="26"/>
        <v>2.7027027027026973E-2</v>
      </c>
      <c r="J284" s="14">
        <f t="shared" si="27"/>
        <v>0</v>
      </c>
      <c r="K284" s="14">
        <f t="shared" si="28"/>
        <v>-2.5440313111546042E-2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35">
      <c r="A285" s="12">
        <v>44578</v>
      </c>
      <c r="B285" s="20">
        <v>12900</v>
      </c>
      <c r="C285" s="20">
        <v>32900</v>
      </c>
      <c r="D285" s="20">
        <v>11100</v>
      </c>
      <c r="E285" s="20">
        <v>29500</v>
      </c>
      <c r="F285" s="20">
        <v>25550</v>
      </c>
      <c r="G285" s="14">
        <f t="shared" si="24"/>
        <v>7.8125E-3</v>
      </c>
      <c r="H285" s="14">
        <f t="shared" si="25"/>
        <v>1.5220700152207556E-3</v>
      </c>
      <c r="I285" s="14">
        <f t="shared" si="26"/>
        <v>0</v>
      </c>
      <c r="J285" s="14">
        <f t="shared" si="27"/>
        <v>8.5470085470085166E-3</v>
      </c>
      <c r="K285" s="14">
        <f t="shared" si="28"/>
        <v>-5.8365758754863606E-3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35">
      <c r="A286" s="12">
        <v>44575</v>
      </c>
      <c r="B286" s="20">
        <v>12800</v>
      </c>
      <c r="C286" s="20">
        <v>32850</v>
      </c>
      <c r="D286" s="20">
        <v>11100</v>
      </c>
      <c r="E286" s="20">
        <v>29250</v>
      </c>
      <c r="F286" s="20">
        <v>25700</v>
      </c>
      <c r="G286" s="14">
        <f t="shared" si="24"/>
        <v>-7.7519379844961378E-3</v>
      </c>
      <c r="H286" s="14">
        <f t="shared" si="25"/>
        <v>-1.7937219730941756E-2</v>
      </c>
      <c r="I286" s="14">
        <f t="shared" si="26"/>
        <v>0</v>
      </c>
      <c r="J286" s="14">
        <f t="shared" si="27"/>
        <v>-1.3490725126475533E-2</v>
      </c>
      <c r="K286" s="14">
        <f t="shared" si="28"/>
        <v>-1.1538461538461497E-2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35">
      <c r="A287" s="12">
        <v>44574</v>
      </c>
      <c r="B287" s="20">
        <v>12900</v>
      </c>
      <c r="C287" s="20">
        <v>33450</v>
      </c>
      <c r="D287" s="20">
        <v>11100</v>
      </c>
      <c r="E287" s="20">
        <v>29650</v>
      </c>
      <c r="F287" s="20">
        <v>26000</v>
      </c>
      <c r="G287" s="14">
        <f t="shared" si="24"/>
        <v>3.2000000000000028E-2</v>
      </c>
      <c r="H287" s="14">
        <f t="shared" si="25"/>
        <v>-1.6176470588235348E-2</v>
      </c>
      <c r="I287" s="14">
        <f t="shared" si="26"/>
        <v>2.7777777777777679E-2</v>
      </c>
      <c r="J287" s="14">
        <f t="shared" si="27"/>
        <v>-5.0335570469798308E-3</v>
      </c>
      <c r="K287" s="14">
        <f t="shared" si="28"/>
        <v>3.8610038610038533E-3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35">
      <c r="A288" s="12">
        <v>44573</v>
      </c>
      <c r="B288" s="20">
        <v>12500</v>
      </c>
      <c r="C288" s="20">
        <v>34000</v>
      </c>
      <c r="D288" s="20">
        <v>10800</v>
      </c>
      <c r="E288" s="20">
        <v>29800</v>
      </c>
      <c r="F288" s="20">
        <v>25900</v>
      </c>
      <c r="G288" s="14">
        <f t="shared" si="24"/>
        <v>8.0645161290322509E-3</v>
      </c>
      <c r="H288" s="14">
        <f t="shared" si="25"/>
        <v>-4.3923865300146137E-3</v>
      </c>
      <c r="I288" s="14">
        <f t="shared" si="26"/>
        <v>9.3457943925232545E-3</v>
      </c>
      <c r="J288" s="14">
        <f t="shared" si="27"/>
        <v>-8.3194675540765317E-3</v>
      </c>
      <c r="K288" s="14">
        <f t="shared" si="28"/>
        <v>1.9685039370078705E-2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35">
      <c r="A289" s="12">
        <v>44572</v>
      </c>
      <c r="B289" s="20">
        <v>12400</v>
      </c>
      <c r="C289" s="20">
        <v>34150</v>
      </c>
      <c r="D289" s="20">
        <v>10700</v>
      </c>
      <c r="E289" s="20">
        <v>30050</v>
      </c>
      <c r="F289" s="20">
        <v>25400</v>
      </c>
      <c r="G289" s="14">
        <f t="shared" si="24"/>
        <v>8.1300813008129413E-3</v>
      </c>
      <c r="H289" s="14">
        <f t="shared" si="25"/>
        <v>3.1722054380664666E-2</v>
      </c>
      <c r="I289" s="14">
        <f t="shared" si="26"/>
        <v>9.4339622641510523E-3</v>
      </c>
      <c r="J289" s="14">
        <f t="shared" si="27"/>
        <v>1.5202702702702631E-2</v>
      </c>
      <c r="K289" s="14">
        <f t="shared" si="28"/>
        <v>3.9525691699604515E-3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35">
      <c r="A290" s="12">
        <v>44571</v>
      </c>
      <c r="B290" s="20">
        <v>12300</v>
      </c>
      <c r="C290" s="20">
        <v>33100</v>
      </c>
      <c r="D290" s="20">
        <v>10600</v>
      </c>
      <c r="E290" s="20">
        <v>29600</v>
      </c>
      <c r="F290" s="20">
        <v>25300</v>
      </c>
      <c r="G290" s="14">
        <f t="shared" si="24"/>
        <v>-8.0645161290322509E-3</v>
      </c>
      <c r="H290" s="14">
        <f t="shared" si="25"/>
        <v>3.4375000000000044E-2</v>
      </c>
      <c r="I290" s="14">
        <f t="shared" si="26"/>
        <v>-1.851851851851849E-2</v>
      </c>
      <c r="J290" s="14">
        <f t="shared" si="27"/>
        <v>-5.0420168067226712E-3</v>
      </c>
      <c r="K290" s="14">
        <f t="shared" si="28"/>
        <v>9.9800399201597223E-3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35">
      <c r="A291" s="12">
        <v>44568</v>
      </c>
      <c r="B291" s="20">
        <v>12400</v>
      </c>
      <c r="C291" s="20">
        <v>32000</v>
      </c>
      <c r="D291" s="20">
        <v>10800</v>
      </c>
      <c r="E291" s="20">
        <v>29750</v>
      </c>
      <c r="F291" s="20">
        <v>25050</v>
      </c>
      <c r="G291" s="14">
        <f t="shared" si="24"/>
        <v>0</v>
      </c>
      <c r="H291" s="14">
        <f t="shared" si="25"/>
        <v>-2.7355623100303927E-2</v>
      </c>
      <c r="I291" s="14">
        <f t="shared" si="26"/>
        <v>9.3457943925232545E-3</v>
      </c>
      <c r="J291" s="14">
        <f t="shared" si="27"/>
        <v>8.4745762711864181E-3</v>
      </c>
      <c r="K291" s="14">
        <f t="shared" si="28"/>
        <v>1.8292682926829285E-2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35">
      <c r="A292" s="12">
        <v>44567</v>
      </c>
      <c r="B292" s="20">
        <v>12400</v>
      </c>
      <c r="C292" s="20">
        <v>32900</v>
      </c>
      <c r="D292" s="20">
        <v>10700</v>
      </c>
      <c r="E292" s="20">
        <v>29500</v>
      </c>
      <c r="F292" s="20">
        <v>24600</v>
      </c>
      <c r="G292" s="14">
        <f t="shared" si="24"/>
        <v>-8.0000000000000071E-3</v>
      </c>
      <c r="H292" s="14">
        <f t="shared" si="25"/>
        <v>9.2024539877300082E-3</v>
      </c>
      <c r="I292" s="14">
        <f t="shared" si="26"/>
        <v>0</v>
      </c>
      <c r="J292" s="14">
        <f t="shared" si="27"/>
        <v>2.9668411867364686E-2</v>
      </c>
      <c r="K292" s="14">
        <f t="shared" si="28"/>
        <v>6.956521739130439E-2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35">
      <c r="A293" s="12">
        <v>44566</v>
      </c>
      <c r="B293" s="20">
        <v>12500</v>
      </c>
      <c r="C293" s="20">
        <v>32600</v>
      </c>
      <c r="D293" s="20">
        <v>10700</v>
      </c>
      <c r="E293" s="20">
        <v>28650</v>
      </c>
      <c r="F293" s="20">
        <v>23000</v>
      </c>
      <c r="G293" s="14">
        <f t="shared" si="24"/>
        <v>1.6260162601626105E-2</v>
      </c>
      <c r="H293" s="14">
        <f t="shared" si="25"/>
        <v>2.515723270440251E-2</v>
      </c>
      <c r="I293" s="14">
        <f t="shared" si="26"/>
        <v>-9.2592592592593004E-3</v>
      </c>
      <c r="J293" s="14">
        <f t="shared" si="27"/>
        <v>8.8028169014084945E-3</v>
      </c>
      <c r="K293" s="14">
        <f t="shared" si="28"/>
        <v>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35">
      <c r="A294" s="12">
        <v>44565</v>
      </c>
      <c r="B294" s="20">
        <v>12300</v>
      </c>
      <c r="C294" s="20">
        <v>31800</v>
      </c>
      <c r="D294" s="20">
        <v>10800</v>
      </c>
      <c r="E294" s="20">
        <v>28400</v>
      </c>
      <c r="F294" s="20">
        <v>23000</v>
      </c>
      <c r="G294" s="14">
        <f t="shared" si="24"/>
        <v>-2.3809523809523836E-2</v>
      </c>
      <c r="H294" s="14">
        <f t="shared" si="25"/>
        <v>-1.851851851851849E-2</v>
      </c>
      <c r="I294" s="14">
        <f t="shared" si="26"/>
        <v>-9.1743119266054496E-3</v>
      </c>
      <c r="J294" s="14">
        <f t="shared" si="27"/>
        <v>5.3097345132744334E-3</v>
      </c>
      <c r="K294" s="14">
        <f t="shared" si="28"/>
        <v>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35">
      <c r="A295" s="12">
        <v>44561</v>
      </c>
      <c r="B295" s="20">
        <v>12600</v>
      </c>
      <c r="C295" s="20">
        <v>32400</v>
      </c>
      <c r="D295" s="20">
        <v>10900</v>
      </c>
      <c r="E295" s="20">
        <v>28250</v>
      </c>
      <c r="F295" s="20">
        <v>23000</v>
      </c>
      <c r="G295" s="14">
        <f t="shared" si="24"/>
        <v>-7.8740157480314821E-3</v>
      </c>
      <c r="H295" s="14">
        <f t="shared" si="25"/>
        <v>2.3696682464454888E-2</v>
      </c>
      <c r="I295" s="14">
        <f t="shared" si="26"/>
        <v>0</v>
      </c>
      <c r="J295" s="14">
        <f t="shared" si="27"/>
        <v>7.1301247771835552E-3</v>
      </c>
      <c r="K295" s="14">
        <f t="shared" si="28"/>
        <v>-1.9189765458422214E-2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35">
      <c r="A296" s="12">
        <v>44560</v>
      </c>
      <c r="B296" s="20">
        <v>12700</v>
      </c>
      <c r="C296" s="20">
        <v>31650</v>
      </c>
      <c r="D296" s="20">
        <v>10900</v>
      </c>
      <c r="E296" s="20">
        <v>28050</v>
      </c>
      <c r="F296" s="20">
        <v>23450</v>
      </c>
      <c r="G296" s="14">
        <f t="shared" si="24"/>
        <v>-7.8125E-3</v>
      </c>
      <c r="H296" s="14">
        <f t="shared" si="25"/>
        <v>2.2617124394184174E-2</v>
      </c>
      <c r="I296" s="14">
        <f t="shared" si="26"/>
        <v>9.2592592592593004E-3</v>
      </c>
      <c r="J296" s="14">
        <f t="shared" si="27"/>
        <v>-1.4059753954305809E-2</v>
      </c>
      <c r="K296" s="14">
        <f t="shared" si="28"/>
        <v>2.1367521367521292E-3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35">
      <c r="A297" s="12">
        <v>44559</v>
      </c>
      <c r="B297" s="20">
        <v>12800</v>
      </c>
      <c r="C297" s="20">
        <v>30950</v>
      </c>
      <c r="D297" s="20">
        <v>10800</v>
      </c>
      <c r="E297" s="20">
        <v>28450</v>
      </c>
      <c r="F297" s="20">
        <v>23400</v>
      </c>
      <c r="G297" s="14">
        <f t="shared" si="24"/>
        <v>1.5873015873015817E-2</v>
      </c>
      <c r="H297" s="14">
        <f t="shared" si="25"/>
        <v>6.7241379310344795E-2</v>
      </c>
      <c r="I297" s="14">
        <f t="shared" si="26"/>
        <v>-9.1743119266054496E-3</v>
      </c>
      <c r="J297" s="14">
        <f t="shared" si="27"/>
        <v>2.1543985637342944E-2</v>
      </c>
      <c r="K297" s="14">
        <f t="shared" si="28"/>
        <v>2.6315789473684292E-2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35">
      <c r="A298" s="12">
        <v>44558</v>
      </c>
      <c r="B298" s="20">
        <v>12600</v>
      </c>
      <c r="C298" s="20">
        <v>29000</v>
      </c>
      <c r="D298" s="20">
        <v>10900</v>
      </c>
      <c r="E298" s="20">
        <v>27850</v>
      </c>
      <c r="F298" s="20">
        <v>22800</v>
      </c>
      <c r="G298" s="14">
        <f t="shared" si="24"/>
        <v>-7.8740157480314821E-3</v>
      </c>
      <c r="H298" s="14">
        <f t="shared" si="25"/>
        <v>-6.8493150684931781E-3</v>
      </c>
      <c r="I298" s="14">
        <f t="shared" si="26"/>
        <v>9.2592592592593004E-3</v>
      </c>
      <c r="J298" s="14">
        <f t="shared" si="27"/>
        <v>-1.0657193605683846E-2</v>
      </c>
      <c r="K298" s="14">
        <f t="shared" si="28"/>
        <v>-2.5641025641025661E-2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35">
      <c r="A299" s="12">
        <v>44557</v>
      </c>
      <c r="B299" s="20">
        <v>12700</v>
      </c>
      <c r="C299" s="20">
        <v>29200</v>
      </c>
      <c r="D299" s="20">
        <v>10800</v>
      </c>
      <c r="E299" s="20">
        <v>28150</v>
      </c>
      <c r="F299" s="20">
        <v>23400</v>
      </c>
      <c r="G299" s="14">
        <f t="shared" si="24"/>
        <v>-7.8125E-3</v>
      </c>
      <c r="H299" s="14">
        <f t="shared" si="25"/>
        <v>-1.3513513513513487E-2</v>
      </c>
      <c r="I299" s="14">
        <f t="shared" si="26"/>
        <v>2.857142857142847E-2</v>
      </c>
      <c r="J299" s="14">
        <f t="shared" si="27"/>
        <v>3.6832412523020164E-2</v>
      </c>
      <c r="K299" s="14">
        <f t="shared" si="28"/>
        <v>-1.4736842105263159E-2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35">
      <c r="A300" s="12">
        <v>44554</v>
      </c>
      <c r="B300" s="20">
        <v>12800</v>
      </c>
      <c r="C300" s="20">
        <v>29600</v>
      </c>
      <c r="D300" s="20">
        <v>10500</v>
      </c>
      <c r="E300" s="20">
        <v>27150</v>
      </c>
      <c r="F300" s="20">
        <v>23750</v>
      </c>
      <c r="G300" s="14">
        <f t="shared" si="24"/>
        <v>-7.7519379844961378E-3</v>
      </c>
      <c r="H300" s="14">
        <f t="shared" si="25"/>
        <v>4.5936395759717419E-2</v>
      </c>
      <c r="I300" s="14">
        <f t="shared" si="26"/>
        <v>1.9417475728155331E-2</v>
      </c>
      <c r="J300" s="14">
        <f t="shared" si="27"/>
        <v>-4.0636042402826811E-2</v>
      </c>
      <c r="K300" s="14">
        <f t="shared" si="28"/>
        <v>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35">
      <c r="A301" s="12">
        <v>44553</v>
      </c>
      <c r="B301" s="20">
        <v>12900</v>
      </c>
      <c r="C301" s="20">
        <v>28300</v>
      </c>
      <c r="D301" s="20">
        <v>10300</v>
      </c>
      <c r="E301" s="20">
        <v>28300</v>
      </c>
      <c r="F301" s="20">
        <v>23750</v>
      </c>
      <c r="G301" s="14">
        <f t="shared" si="24"/>
        <v>4.0322580645161255E-2</v>
      </c>
      <c r="H301" s="14">
        <f t="shared" si="25"/>
        <v>-1.7636684303351524E-3</v>
      </c>
      <c r="I301" s="14">
        <f t="shared" si="26"/>
        <v>1.980198019801982E-2</v>
      </c>
      <c r="J301" s="14">
        <f t="shared" si="27"/>
        <v>1.7699115044247371E-3</v>
      </c>
      <c r="K301" s="14">
        <f t="shared" si="28"/>
        <v>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35">
      <c r="A302" s="12">
        <v>44552</v>
      </c>
      <c r="B302" s="20">
        <v>12400</v>
      </c>
      <c r="C302" s="20">
        <v>28350</v>
      </c>
      <c r="D302" s="20">
        <v>10100</v>
      </c>
      <c r="E302" s="20">
        <v>28250</v>
      </c>
      <c r="F302" s="20">
        <v>23750</v>
      </c>
      <c r="G302" s="14">
        <f t="shared" si="24"/>
        <v>0</v>
      </c>
      <c r="H302" s="14">
        <f t="shared" si="25"/>
        <v>-1.9031141868512069E-2</v>
      </c>
      <c r="I302" s="14">
        <f t="shared" si="26"/>
        <v>0</v>
      </c>
      <c r="J302" s="14">
        <f t="shared" si="27"/>
        <v>-7.0298769771528491E-3</v>
      </c>
      <c r="K302" s="14">
        <f t="shared" si="28"/>
        <v>4.2283298097252064E-3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35">
      <c r="A303" s="12">
        <v>44551</v>
      </c>
      <c r="B303" s="20">
        <v>12400</v>
      </c>
      <c r="C303" s="20">
        <v>28900</v>
      </c>
      <c r="D303" s="20">
        <v>10100</v>
      </c>
      <c r="E303" s="20">
        <v>28450</v>
      </c>
      <c r="F303" s="20">
        <v>23650</v>
      </c>
      <c r="G303" s="14">
        <f t="shared" si="24"/>
        <v>1.6393442622950838E-2</v>
      </c>
      <c r="H303" s="14">
        <f t="shared" si="25"/>
        <v>2.4822695035461084E-2</v>
      </c>
      <c r="I303" s="14">
        <f t="shared" si="26"/>
        <v>2.020202020202011E-2</v>
      </c>
      <c r="J303" s="14">
        <f t="shared" si="27"/>
        <v>5.300353356890497E-3</v>
      </c>
      <c r="K303" s="14">
        <f t="shared" si="28"/>
        <v>-3.0737704918032738E-2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35">
      <c r="A304" s="12">
        <v>44550</v>
      </c>
      <c r="B304" s="20">
        <v>12200</v>
      </c>
      <c r="C304" s="20">
        <v>28200</v>
      </c>
      <c r="D304" s="20">
        <v>9900</v>
      </c>
      <c r="E304" s="20">
        <v>28300</v>
      </c>
      <c r="F304" s="20">
        <v>24400</v>
      </c>
      <c r="G304" s="14">
        <f t="shared" si="24"/>
        <v>1.6666666666666607E-2</v>
      </c>
      <c r="H304" s="14">
        <f t="shared" si="25"/>
        <v>7.1428571428571175E-3</v>
      </c>
      <c r="I304" s="14">
        <f t="shared" si="26"/>
        <v>0</v>
      </c>
      <c r="J304" s="14">
        <f t="shared" si="27"/>
        <v>8.9126559714796105E-3</v>
      </c>
      <c r="K304" s="14">
        <f t="shared" si="28"/>
        <v>-4.0816326530612734E-3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35">
      <c r="A305" s="12">
        <v>44547</v>
      </c>
      <c r="B305" s="20">
        <v>12000</v>
      </c>
      <c r="C305" s="20">
        <v>28000</v>
      </c>
      <c r="D305" s="20">
        <v>9900</v>
      </c>
      <c r="E305" s="20">
        <v>28050</v>
      </c>
      <c r="F305" s="20">
        <v>24500</v>
      </c>
      <c r="G305" s="14">
        <f t="shared" si="24"/>
        <v>-1.6393442622950838E-2</v>
      </c>
      <c r="H305" s="14">
        <f t="shared" si="25"/>
        <v>-1.9264448336252182E-2</v>
      </c>
      <c r="I305" s="14">
        <f t="shared" si="26"/>
        <v>0</v>
      </c>
      <c r="J305" s="14">
        <f t="shared" si="27"/>
        <v>-5.3191489361702482E-3</v>
      </c>
      <c r="K305" s="14">
        <f t="shared" si="28"/>
        <v>4.7008547008547064E-2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35">
      <c r="A306" s="12">
        <v>44546</v>
      </c>
      <c r="B306" s="20">
        <v>12200</v>
      </c>
      <c r="C306" s="20">
        <v>28550</v>
      </c>
      <c r="D306" s="20">
        <v>9900</v>
      </c>
      <c r="E306" s="20">
        <v>28200</v>
      </c>
      <c r="F306" s="20">
        <v>23400</v>
      </c>
      <c r="G306" s="14">
        <f t="shared" si="24"/>
        <v>8.2644628099173278E-3</v>
      </c>
      <c r="H306" s="14">
        <f t="shared" si="25"/>
        <v>-1.7482517482517723E-3</v>
      </c>
      <c r="I306" s="14">
        <f t="shared" si="26"/>
        <v>1.0204081632652962E-2</v>
      </c>
      <c r="J306" s="14">
        <f t="shared" si="27"/>
        <v>-1.0526315789473717E-2</v>
      </c>
      <c r="K306" s="14">
        <f t="shared" si="28"/>
        <v>6.4516129032257119E-3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35">
      <c r="A307" s="12">
        <v>44545</v>
      </c>
      <c r="B307" s="20">
        <v>12100</v>
      </c>
      <c r="C307" s="20">
        <v>28600</v>
      </c>
      <c r="D307" s="20">
        <v>9800</v>
      </c>
      <c r="E307" s="20">
        <v>28500</v>
      </c>
      <c r="F307" s="20">
        <v>23250</v>
      </c>
      <c r="G307" s="14">
        <f t="shared" si="24"/>
        <v>-8.1967213114754189E-3</v>
      </c>
      <c r="H307" s="14">
        <f t="shared" si="25"/>
        <v>3.2490974729241895E-2</v>
      </c>
      <c r="I307" s="14">
        <f t="shared" si="26"/>
        <v>0</v>
      </c>
      <c r="J307" s="14">
        <f t="shared" si="27"/>
        <v>3.5211267605634866E-3</v>
      </c>
      <c r="K307" s="14">
        <f t="shared" si="28"/>
        <v>-4.9079754601227044E-2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35">
      <c r="A308" s="12">
        <v>44544</v>
      </c>
      <c r="B308" s="20">
        <v>12200</v>
      </c>
      <c r="C308" s="20">
        <v>27700</v>
      </c>
      <c r="D308" s="20">
        <v>9800</v>
      </c>
      <c r="E308" s="20">
        <v>28400</v>
      </c>
      <c r="F308" s="20">
        <v>24450</v>
      </c>
      <c r="G308" s="14">
        <f t="shared" si="24"/>
        <v>8.2644628099173278E-3</v>
      </c>
      <c r="H308" s="14">
        <f t="shared" si="25"/>
        <v>2.5925925925925908E-2</v>
      </c>
      <c r="I308" s="14">
        <f t="shared" si="26"/>
        <v>0</v>
      </c>
      <c r="J308" s="14">
        <f t="shared" si="27"/>
        <v>-3.5087719298245723E-3</v>
      </c>
      <c r="K308" s="14">
        <f t="shared" si="28"/>
        <v>-2.0408163265306367E-3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35">
      <c r="A309" s="12">
        <v>44543</v>
      </c>
      <c r="B309" s="20">
        <v>12100</v>
      </c>
      <c r="C309" s="20">
        <v>27000</v>
      </c>
      <c r="D309" s="20">
        <v>9800</v>
      </c>
      <c r="E309" s="20">
        <v>28500</v>
      </c>
      <c r="F309" s="20">
        <v>24500</v>
      </c>
      <c r="G309" s="14">
        <f t="shared" si="24"/>
        <v>-1.6260162601625994E-2</v>
      </c>
      <c r="H309" s="14">
        <f t="shared" si="25"/>
        <v>-1.2797074954296161E-2</v>
      </c>
      <c r="I309" s="14">
        <f t="shared" si="26"/>
        <v>0</v>
      </c>
      <c r="J309" s="14">
        <f t="shared" si="27"/>
        <v>-3.4965034965035446E-3</v>
      </c>
      <c r="K309" s="14">
        <f t="shared" si="28"/>
        <v>2.5104602510460206E-2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35">
      <c r="A310" s="12">
        <v>44540</v>
      </c>
      <c r="B310" s="20">
        <v>12300</v>
      </c>
      <c r="C310" s="20">
        <v>27350</v>
      </c>
      <c r="D310" s="20">
        <v>9800</v>
      </c>
      <c r="E310" s="20">
        <v>28600</v>
      </c>
      <c r="F310" s="20">
        <v>23900</v>
      </c>
      <c r="G310" s="14">
        <f t="shared" si="24"/>
        <v>-8.0645161290322509E-3</v>
      </c>
      <c r="H310" s="14">
        <f t="shared" si="25"/>
        <v>1.2962962962963065E-2</v>
      </c>
      <c r="I310" s="14">
        <f t="shared" si="26"/>
        <v>0</v>
      </c>
      <c r="J310" s="14">
        <f t="shared" si="27"/>
        <v>1.7793594306049876E-2</v>
      </c>
      <c r="K310" s="14">
        <f t="shared" si="28"/>
        <v>1.7021276595744705E-2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35">
      <c r="A311" s="12">
        <v>44539</v>
      </c>
      <c r="B311" s="20">
        <v>12400</v>
      </c>
      <c r="C311" s="20">
        <v>27000</v>
      </c>
      <c r="D311" s="20">
        <v>9800</v>
      </c>
      <c r="E311" s="20">
        <v>28100</v>
      </c>
      <c r="F311" s="20">
        <v>23500</v>
      </c>
      <c r="G311" s="14">
        <f t="shared" si="24"/>
        <v>1.6393442622950838E-2</v>
      </c>
      <c r="H311" s="14">
        <f t="shared" si="25"/>
        <v>-1.098901098901095E-2</v>
      </c>
      <c r="I311" s="14">
        <f t="shared" si="26"/>
        <v>2.0833333333333259E-2</v>
      </c>
      <c r="J311" s="14">
        <f t="shared" si="27"/>
        <v>2.5547445255474477E-2</v>
      </c>
      <c r="K311" s="14">
        <f t="shared" si="28"/>
        <v>-1.6736401673640211E-2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35">
      <c r="A312" s="12">
        <v>44538</v>
      </c>
      <c r="B312" s="20">
        <v>12200</v>
      </c>
      <c r="C312" s="20">
        <v>27300</v>
      </c>
      <c r="D312" s="20">
        <v>9600</v>
      </c>
      <c r="E312" s="20">
        <v>27400</v>
      </c>
      <c r="F312" s="20">
        <v>23900</v>
      </c>
      <c r="G312" s="14">
        <f t="shared" si="24"/>
        <v>8.2644628099173278E-3</v>
      </c>
      <c r="H312" s="14">
        <f t="shared" si="25"/>
        <v>-1.8281535648994041E-3</v>
      </c>
      <c r="I312" s="14">
        <f t="shared" si="26"/>
        <v>2.1276595744680771E-2</v>
      </c>
      <c r="J312" s="14">
        <f t="shared" si="27"/>
        <v>3.3962264150943389E-2</v>
      </c>
      <c r="K312" s="14">
        <f t="shared" si="28"/>
        <v>-1.2396694214875992E-2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35">
      <c r="A313" s="12">
        <v>44537</v>
      </c>
      <c r="B313" s="20">
        <v>12100</v>
      </c>
      <c r="C313" s="20">
        <v>27350</v>
      </c>
      <c r="D313" s="20">
        <v>9400</v>
      </c>
      <c r="E313" s="20">
        <v>26500</v>
      </c>
      <c r="F313" s="20">
        <v>24200</v>
      </c>
      <c r="G313" s="14">
        <f t="shared" si="24"/>
        <v>8.3333333333333037E-3</v>
      </c>
      <c r="H313" s="14">
        <f t="shared" si="25"/>
        <v>1.2962962962963065E-2</v>
      </c>
      <c r="I313" s="14">
        <f t="shared" si="26"/>
        <v>0</v>
      </c>
      <c r="J313" s="14">
        <f t="shared" si="27"/>
        <v>-1.3035381750465591E-2</v>
      </c>
      <c r="K313" s="14">
        <f t="shared" si="28"/>
        <v>2.5423728813559254E-2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35">
      <c r="A314" s="12">
        <v>44536</v>
      </c>
      <c r="B314" s="20">
        <v>12000</v>
      </c>
      <c r="C314" s="20">
        <v>27000</v>
      </c>
      <c r="D314" s="20">
        <v>9400</v>
      </c>
      <c r="E314" s="20">
        <v>26850</v>
      </c>
      <c r="F314" s="20">
        <v>23600</v>
      </c>
      <c r="G314" s="14">
        <f t="shared" si="24"/>
        <v>8.4033613445377853E-3</v>
      </c>
      <c r="H314" s="14">
        <f t="shared" si="25"/>
        <v>1.5037593984962516E-2</v>
      </c>
      <c r="I314" s="14">
        <f t="shared" si="26"/>
        <v>0</v>
      </c>
      <c r="J314" s="14">
        <f t="shared" si="27"/>
        <v>1.8656716417910779E-3</v>
      </c>
      <c r="K314" s="14">
        <f t="shared" si="28"/>
        <v>-6.3157894736841635E-3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35">
      <c r="A315" s="12">
        <v>44533</v>
      </c>
      <c r="B315" s="20">
        <v>11900</v>
      </c>
      <c r="C315" s="20">
        <v>26600</v>
      </c>
      <c r="D315" s="20">
        <v>9400</v>
      </c>
      <c r="E315" s="20">
        <v>26800</v>
      </c>
      <c r="F315" s="20">
        <v>23750</v>
      </c>
      <c r="G315" s="14">
        <f t="shared" si="24"/>
        <v>1.7094017094017033E-2</v>
      </c>
      <c r="H315" s="14">
        <f t="shared" si="25"/>
        <v>7.575757575757569E-3</v>
      </c>
      <c r="I315" s="14">
        <f t="shared" si="26"/>
        <v>0</v>
      </c>
      <c r="J315" s="14">
        <f t="shared" si="27"/>
        <v>3.7453183520599342E-3</v>
      </c>
      <c r="K315" s="14">
        <f t="shared" si="28"/>
        <v>6.7415730337078594E-2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35">
      <c r="A316" s="12">
        <v>44532</v>
      </c>
      <c r="B316" s="20">
        <v>11700</v>
      </c>
      <c r="C316" s="20">
        <v>26400</v>
      </c>
      <c r="D316" s="20">
        <v>9400</v>
      </c>
      <c r="E316" s="20">
        <v>26700</v>
      </c>
      <c r="F316" s="20">
        <v>22250</v>
      </c>
      <c r="G316" s="14">
        <f t="shared" si="24"/>
        <v>2.6315789473684292E-2</v>
      </c>
      <c r="H316" s="14">
        <f t="shared" si="25"/>
        <v>7.6335877862594437E-3</v>
      </c>
      <c r="I316" s="14">
        <f t="shared" si="26"/>
        <v>-1.0526315789473717E-2</v>
      </c>
      <c r="J316" s="14">
        <f t="shared" si="27"/>
        <v>7.547169811320753E-3</v>
      </c>
      <c r="K316" s="14">
        <f t="shared" si="28"/>
        <v>6.9711538461538547E-2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35">
      <c r="A317" s="12">
        <v>44531</v>
      </c>
      <c r="B317" s="20">
        <v>11400</v>
      </c>
      <c r="C317" s="20">
        <v>26200</v>
      </c>
      <c r="D317" s="20">
        <v>9500</v>
      </c>
      <c r="E317" s="20">
        <v>26500</v>
      </c>
      <c r="F317" s="20">
        <v>20800</v>
      </c>
      <c r="G317" s="14">
        <f t="shared" si="24"/>
        <v>8.8495575221239076E-3</v>
      </c>
      <c r="H317" s="14">
        <f t="shared" si="25"/>
        <v>3.9682539682539764E-2</v>
      </c>
      <c r="I317" s="14">
        <f t="shared" si="26"/>
        <v>4.3956043956044022E-2</v>
      </c>
      <c r="J317" s="14">
        <f t="shared" si="27"/>
        <v>0</v>
      </c>
      <c r="K317" s="14">
        <f t="shared" si="28"/>
        <v>-2.3980815347721673E-3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35">
      <c r="A318" s="12">
        <v>44530</v>
      </c>
      <c r="B318" s="20">
        <v>11300</v>
      </c>
      <c r="C318" s="20">
        <v>25200</v>
      </c>
      <c r="D318" s="20">
        <v>9100</v>
      </c>
      <c r="E318" s="20">
        <v>26500</v>
      </c>
      <c r="F318" s="20">
        <v>20850</v>
      </c>
      <c r="G318" s="14">
        <f t="shared" si="24"/>
        <v>5.6074766355140193E-2</v>
      </c>
      <c r="H318" s="14">
        <f t="shared" si="25"/>
        <v>2.857142857142847E-2</v>
      </c>
      <c r="I318" s="14">
        <f t="shared" si="26"/>
        <v>1.1111111111111072E-2</v>
      </c>
      <c r="J318" s="14">
        <f t="shared" si="27"/>
        <v>3.7878787878788955E-3</v>
      </c>
      <c r="K318" s="14">
        <f t="shared" si="28"/>
        <v>3.473945409429291E-2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35">
      <c r="A319" s="12">
        <v>44529</v>
      </c>
      <c r="B319" s="20">
        <v>10700</v>
      </c>
      <c r="C319" s="20">
        <v>24500</v>
      </c>
      <c r="D319" s="20">
        <v>9000</v>
      </c>
      <c r="E319" s="20">
        <v>26400</v>
      </c>
      <c r="F319" s="20">
        <v>20150</v>
      </c>
      <c r="G319" s="14">
        <f t="shared" si="24"/>
        <v>-1.834862385321101E-2</v>
      </c>
      <c r="H319" s="14">
        <f t="shared" si="25"/>
        <v>-1.2096774193548376E-2</v>
      </c>
      <c r="I319" s="14">
        <f t="shared" si="26"/>
        <v>-1.098901098901095E-2</v>
      </c>
      <c r="J319" s="14">
        <f t="shared" si="27"/>
        <v>3.8022813688212143E-3</v>
      </c>
      <c r="K319" s="14">
        <f t="shared" si="28"/>
        <v>2.5445292620865034E-2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35">
      <c r="A320" s="12">
        <v>44526</v>
      </c>
      <c r="B320" s="20">
        <v>10900</v>
      </c>
      <c r="C320" s="20">
        <v>24800</v>
      </c>
      <c r="D320" s="20">
        <v>9100</v>
      </c>
      <c r="E320" s="20">
        <v>26300</v>
      </c>
      <c r="F320" s="20">
        <v>19650</v>
      </c>
      <c r="G320" s="14">
        <f t="shared" si="24"/>
        <v>9.2592592592593004E-3</v>
      </c>
      <c r="H320" s="14">
        <f t="shared" si="25"/>
        <v>3.3333333333333437E-2</v>
      </c>
      <c r="I320" s="14">
        <f t="shared" si="26"/>
        <v>-1.0869565217391353E-2</v>
      </c>
      <c r="J320" s="14">
        <f t="shared" si="27"/>
        <v>-1.8656716417910446E-2</v>
      </c>
      <c r="K320" s="14">
        <f t="shared" si="28"/>
        <v>4.5212765957446832E-2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35">
      <c r="A321" s="12">
        <v>44525</v>
      </c>
      <c r="B321" s="20">
        <v>10800</v>
      </c>
      <c r="C321" s="20">
        <v>24000</v>
      </c>
      <c r="D321" s="20">
        <v>9200</v>
      </c>
      <c r="E321" s="20">
        <v>26800</v>
      </c>
      <c r="F321" s="20">
        <v>18800</v>
      </c>
      <c r="G321" s="14">
        <f t="shared" si="24"/>
        <v>-4.4247787610619427E-2</v>
      </c>
      <c r="H321" s="14">
        <f t="shared" si="25"/>
        <v>-5.6974459724950854E-2</v>
      </c>
      <c r="I321" s="14">
        <f t="shared" si="26"/>
        <v>-2.1276595744680882E-2</v>
      </c>
      <c r="J321" s="14">
        <f t="shared" si="27"/>
        <v>1.9011406844106515E-2</v>
      </c>
      <c r="K321" s="14">
        <f t="shared" si="28"/>
        <v>-2.083333333333337E-2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35">
      <c r="A322" s="12">
        <v>44524</v>
      </c>
      <c r="B322" s="20">
        <v>11300</v>
      </c>
      <c r="C322" s="20">
        <v>25450</v>
      </c>
      <c r="D322" s="20">
        <v>9400</v>
      </c>
      <c r="E322" s="20">
        <v>26300</v>
      </c>
      <c r="F322" s="20">
        <v>19200</v>
      </c>
      <c r="G322" s="14">
        <f t="shared" si="24"/>
        <v>4.629629629629628E-2</v>
      </c>
      <c r="H322" s="14">
        <f t="shared" si="25"/>
        <v>5.6016597510373467E-2</v>
      </c>
      <c r="I322" s="14">
        <f t="shared" si="26"/>
        <v>4.4444444444444509E-2</v>
      </c>
      <c r="J322" s="14">
        <f t="shared" si="27"/>
        <v>1.1538461538461497E-2</v>
      </c>
      <c r="K322" s="14">
        <f t="shared" si="28"/>
        <v>1.5873015873015817E-2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35">
      <c r="A323" s="12">
        <v>44523</v>
      </c>
      <c r="B323" s="20">
        <v>10800</v>
      </c>
      <c r="C323" s="20">
        <v>24100</v>
      </c>
      <c r="D323" s="20">
        <v>9000</v>
      </c>
      <c r="E323" s="20">
        <v>26000</v>
      </c>
      <c r="F323" s="20">
        <v>18900</v>
      </c>
      <c r="G323" s="14">
        <f t="shared" si="24"/>
        <v>-8.4745762711864403E-2</v>
      </c>
      <c r="H323" s="14">
        <f t="shared" si="25"/>
        <v>-6.949806949806947E-2</v>
      </c>
      <c r="I323" s="14">
        <f t="shared" si="26"/>
        <v>-5.2631578947368474E-2</v>
      </c>
      <c r="J323" s="14">
        <f t="shared" si="27"/>
        <v>-1.8867924528301883E-2</v>
      </c>
      <c r="K323" s="14">
        <f t="shared" si="28"/>
        <v>6.7796610169491567E-2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35">
      <c r="A324" s="12">
        <v>44522</v>
      </c>
      <c r="B324" s="20">
        <v>11800</v>
      </c>
      <c r="C324" s="20">
        <v>25900</v>
      </c>
      <c r="D324" s="20">
        <v>9500</v>
      </c>
      <c r="E324" s="20">
        <v>26500</v>
      </c>
      <c r="F324" s="20">
        <v>17700</v>
      </c>
      <c r="G324" s="14">
        <f t="shared" si="24"/>
        <v>-5.600000000000005E-2</v>
      </c>
      <c r="H324" s="14">
        <f t="shared" si="25"/>
        <v>-4.4280442804428E-2</v>
      </c>
      <c r="I324" s="14">
        <f t="shared" si="26"/>
        <v>-5.0000000000000044E-2</v>
      </c>
      <c r="J324" s="14">
        <f t="shared" si="27"/>
        <v>-1.4869888475836479E-2</v>
      </c>
      <c r="K324" s="14">
        <f t="shared" si="28"/>
        <v>-1.939058171745156E-2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35">
      <c r="A325" s="12">
        <v>44519</v>
      </c>
      <c r="B325" s="20">
        <v>12500</v>
      </c>
      <c r="C325" s="20">
        <v>27100</v>
      </c>
      <c r="D325" s="20">
        <v>10000</v>
      </c>
      <c r="E325" s="20">
        <v>26900</v>
      </c>
      <c r="F325" s="20">
        <v>18050</v>
      </c>
      <c r="G325" s="14">
        <f t="shared" ref="G325:G388" si="29">B325/B326-1</f>
        <v>1.6260162601626105E-2</v>
      </c>
      <c r="H325" s="14">
        <f t="shared" ref="H325:H388" si="30">C325/C326-1</f>
        <v>-1.0948905109489093E-2</v>
      </c>
      <c r="I325" s="14">
        <f t="shared" ref="I325:I388" si="31">D325/D326-1</f>
        <v>0</v>
      </c>
      <c r="J325" s="14">
        <f t="shared" ref="J325:J388" si="32">E325/E326-1</f>
        <v>3.7313432835821558E-3</v>
      </c>
      <c r="K325" s="14">
        <f t="shared" ref="K325:K388" si="33">F325/F326-1</f>
        <v>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35">
      <c r="A326" s="12">
        <v>44518</v>
      </c>
      <c r="B326" s="20">
        <v>12300</v>
      </c>
      <c r="C326" s="20">
        <v>27400</v>
      </c>
      <c r="D326" s="20">
        <v>10000</v>
      </c>
      <c r="E326" s="20">
        <v>26800</v>
      </c>
      <c r="F326" s="20">
        <v>18050</v>
      </c>
      <c r="G326" s="14">
        <f t="shared" si="29"/>
        <v>0</v>
      </c>
      <c r="H326" s="14">
        <f t="shared" si="30"/>
        <v>-3.6363636363636598E-3</v>
      </c>
      <c r="I326" s="14">
        <f t="shared" si="31"/>
        <v>-9.9009900990099098E-3</v>
      </c>
      <c r="J326" s="14">
        <f t="shared" si="32"/>
        <v>5.6285178236397115E-3</v>
      </c>
      <c r="K326" s="14">
        <f t="shared" si="33"/>
        <v>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35">
      <c r="A327" s="12">
        <v>44517</v>
      </c>
      <c r="B327" s="20">
        <v>12300</v>
      </c>
      <c r="C327" s="20">
        <v>27500</v>
      </c>
      <c r="D327" s="20">
        <v>10100</v>
      </c>
      <c r="E327" s="20">
        <v>26650</v>
      </c>
      <c r="F327" s="20">
        <v>18050</v>
      </c>
      <c r="G327" s="14">
        <f t="shared" si="29"/>
        <v>0</v>
      </c>
      <c r="H327" s="14">
        <f t="shared" si="30"/>
        <v>7.3260073260073E-3</v>
      </c>
      <c r="I327" s="14">
        <f t="shared" si="31"/>
        <v>-1.9417475728155331E-2</v>
      </c>
      <c r="J327" s="14">
        <f t="shared" si="32"/>
        <v>5.6603773584906758E-3</v>
      </c>
      <c r="K327" s="14">
        <f t="shared" si="33"/>
        <v>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35">
      <c r="A328" s="12">
        <v>44516</v>
      </c>
      <c r="B328" s="20">
        <v>12300</v>
      </c>
      <c r="C328" s="20">
        <v>27300</v>
      </c>
      <c r="D328" s="20">
        <v>10300</v>
      </c>
      <c r="E328" s="20">
        <v>26500</v>
      </c>
      <c r="F328" s="20">
        <v>18050</v>
      </c>
      <c r="G328" s="14">
        <f t="shared" si="29"/>
        <v>-1.6000000000000014E-2</v>
      </c>
      <c r="H328" s="14">
        <f t="shared" si="30"/>
        <v>-3.703703703703709E-2</v>
      </c>
      <c r="I328" s="14">
        <f t="shared" si="31"/>
        <v>9.8039215686274161E-3</v>
      </c>
      <c r="J328" s="14">
        <f t="shared" si="32"/>
        <v>-3.7593984962406291E-3</v>
      </c>
      <c r="K328" s="14">
        <f t="shared" si="33"/>
        <v>-5.5096418732781816E-3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35">
      <c r="A329" s="12">
        <v>44515</v>
      </c>
      <c r="B329" s="20">
        <v>12500</v>
      </c>
      <c r="C329" s="20">
        <v>28350</v>
      </c>
      <c r="D329" s="20">
        <v>10200</v>
      </c>
      <c r="E329" s="20">
        <v>26600</v>
      </c>
      <c r="F329" s="20">
        <v>18150</v>
      </c>
      <c r="G329" s="14">
        <f t="shared" si="29"/>
        <v>-7.9365079365079083E-3</v>
      </c>
      <c r="H329" s="14">
        <f t="shared" si="30"/>
        <v>3.0909090909090997E-2</v>
      </c>
      <c r="I329" s="14">
        <f t="shared" si="31"/>
        <v>2.0000000000000018E-2</v>
      </c>
      <c r="J329" s="14">
        <f t="shared" si="32"/>
        <v>-3.7453183520599342E-3</v>
      </c>
      <c r="K329" s="14">
        <f t="shared" si="33"/>
        <v>-2.7472527472527375E-3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35">
      <c r="A330" s="12">
        <v>44512</v>
      </c>
      <c r="B330" s="20">
        <v>12600</v>
      </c>
      <c r="C330" s="20">
        <v>27500</v>
      </c>
      <c r="D330" s="20">
        <v>10000</v>
      </c>
      <c r="E330" s="20">
        <v>26700</v>
      </c>
      <c r="F330" s="20">
        <v>18200</v>
      </c>
      <c r="G330" s="14">
        <f t="shared" si="29"/>
        <v>1.6129032258064502E-2</v>
      </c>
      <c r="H330" s="14">
        <f t="shared" si="30"/>
        <v>-3.6231884057971175E-3</v>
      </c>
      <c r="I330" s="14">
        <f t="shared" si="31"/>
        <v>-9.9009900990099098E-3</v>
      </c>
      <c r="J330" s="14">
        <f t="shared" si="32"/>
        <v>3.759398496240518E-3</v>
      </c>
      <c r="K330" s="14">
        <f t="shared" si="33"/>
        <v>-2.739726027397249E-3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35">
      <c r="A331" s="12">
        <v>44511</v>
      </c>
      <c r="B331" s="20">
        <v>12400</v>
      </c>
      <c r="C331" s="20">
        <v>27600</v>
      </c>
      <c r="D331" s="20">
        <v>10100</v>
      </c>
      <c r="E331" s="20">
        <v>26600</v>
      </c>
      <c r="F331" s="20">
        <v>18250</v>
      </c>
      <c r="G331" s="14">
        <f t="shared" si="29"/>
        <v>0</v>
      </c>
      <c r="H331" s="14">
        <f t="shared" si="30"/>
        <v>1.4705882352941124E-2</v>
      </c>
      <c r="I331" s="14">
        <f t="shared" si="31"/>
        <v>0</v>
      </c>
      <c r="J331" s="14">
        <f t="shared" si="32"/>
        <v>7.575757575757569E-3</v>
      </c>
      <c r="K331" s="14">
        <f t="shared" si="33"/>
        <v>1.1080332409972193E-2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35">
      <c r="A332" s="12">
        <v>44510</v>
      </c>
      <c r="B332" s="20">
        <v>12400</v>
      </c>
      <c r="C332" s="20">
        <v>27200</v>
      </c>
      <c r="D332" s="20">
        <v>10100</v>
      </c>
      <c r="E332" s="20">
        <v>26400</v>
      </c>
      <c r="F332" s="20">
        <v>18050</v>
      </c>
      <c r="G332" s="14">
        <f t="shared" si="29"/>
        <v>0</v>
      </c>
      <c r="H332" s="14">
        <f t="shared" si="30"/>
        <v>-7.2992700729926918E-3</v>
      </c>
      <c r="I332" s="14">
        <f t="shared" si="31"/>
        <v>2.020202020202011E-2</v>
      </c>
      <c r="J332" s="14">
        <f t="shared" si="32"/>
        <v>0</v>
      </c>
      <c r="K332" s="14">
        <f t="shared" si="33"/>
        <v>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35">
      <c r="A333" s="12">
        <v>44509</v>
      </c>
      <c r="B333" s="20">
        <v>12400</v>
      </c>
      <c r="C333" s="20">
        <v>27400</v>
      </c>
      <c r="D333" s="20">
        <v>9900</v>
      </c>
      <c r="E333" s="20">
        <v>26400</v>
      </c>
      <c r="F333" s="20">
        <v>18050</v>
      </c>
      <c r="G333" s="14">
        <f t="shared" si="29"/>
        <v>0</v>
      </c>
      <c r="H333" s="14">
        <f t="shared" si="30"/>
        <v>-1.8214936247723523E-3</v>
      </c>
      <c r="I333" s="14">
        <f t="shared" si="31"/>
        <v>1.0204081632652962E-2</v>
      </c>
      <c r="J333" s="14">
        <f t="shared" si="32"/>
        <v>-3.7735849056603765E-3</v>
      </c>
      <c r="K333" s="14">
        <f t="shared" si="33"/>
        <v>-1.0958904109588996E-2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35">
      <c r="A334" s="12">
        <v>44508</v>
      </c>
      <c r="B334" s="20">
        <v>12400</v>
      </c>
      <c r="C334" s="20">
        <v>27450</v>
      </c>
      <c r="D334" s="20">
        <v>9800</v>
      </c>
      <c r="E334" s="20">
        <v>26500</v>
      </c>
      <c r="F334" s="20">
        <v>18250</v>
      </c>
      <c r="G334" s="14">
        <f t="shared" si="29"/>
        <v>-8.0000000000000071E-3</v>
      </c>
      <c r="H334" s="14">
        <f t="shared" si="30"/>
        <v>0</v>
      </c>
      <c r="I334" s="14">
        <f t="shared" si="31"/>
        <v>-1.0101010101010055E-2</v>
      </c>
      <c r="J334" s="14">
        <f t="shared" si="32"/>
        <v>-7.4906367041198685E-3</v>
      </c>
      <c r="K334" s="14">
        <f t="shared" si="33"/>
        <v>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35">
      <c r="A335" s="12">
        <v>44505</v>
      </c>
      <c r="B335" s="20">
        <v>12500</v>
      </c>
      <c r="C335" s="20">
        <v>27450</v>
      </c>
      <c r="D335" s="20">
        <v>9900</v>
      </c>
      <c r="E335" s="20">
        <v>26700</v>
      </c>
      <c r="F335" s="20">
        <v>18250</v>
      </c>
      <c r="G335" s="14">
        <f t="shared" si="29"/>
        <v>1.6260162601626105E-2</v>
      </c>
      <c r="H335" s="14">
        <f t="shared" si="30"/>
        <v>1.4787430683918634E-2</v>
      </c>
      <c r="I335" s="14">
        <f t="shared" si="31"/>
        <v>2.0618556701030855E-2</v>
      </c>
      <c r="J335" s="14">
        <f t="shared" si="32"/>
        <v>7.547169811320753E-3</v>
      </c>
      <c r="K335" s="14">
        <f t="shared" si="33"/>
        <v>1.1080332409972193E-2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35">
      <c r="A336" s="12">
        <v>44504</v>
      </c>
      <c r="B336" s="20">
        <v>12300</v>
      </c>
      <c r="C336" s="20">
        <v>27050</v>
      </c>
      <c r="D336" s="20">
        <v>9700</v>
      </c>
      <c r="E336" s="20">
        <v>26500</v>
      </c>
      <c r="F336" s="20">
        <v>18050</v>
      </c>
      <c r="G336" s="14">
        <f t="shared" si="29"/>
        <v>-8.0645161290322509E-3</v>
      </c>
      <c r="H336" s="14">
        <f t="shared" si="30"/>
        <v>-5.5147058823529216E-3</v>
      </c>
      <c r="I336" s="14">
        <f t="shared" si="31"/>
        <v>0</v>
      </c>
      <c r="J336" s="14">
        <f t="shared" si="32"/>
        <v>-3.7593984962406291E-3</v>
      </c>
      <c r="K336" s="14">
        <f t="shared" si="33"/>
        <v>-2.7624309392265678E-3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35">
      <c r="A337" s="12">
        <v>44503</v>
      </c>
      <c r="B337" s="20">
        <v>12400</v>
      </c>
      <c r="C337" s="20">
        <v>27200</v>
      </c>
      <c r="D337" s="20">
        <v>9700</v>
      </c>
      <c r="E337" s="20">
        <v>26600</v>
      </c>
      <c r="F337" s="20">
        <v>18100</v>
      </c>
      <c r="G337" s="14">
        <f t="shared" si="29"/>
        <v>0</v>
      </c>
      <c r="H337" s="14">
        <f t="shared" si="30"/>
        <v>1.8726591760299671E-2</v>
      </c>
      <c r="I337" s="14">
        <f t="shared" si="31"/>
        <v>0</v>
      </c>
      <c r="J337" s="14">
        <f t="shared" si="32"/>
        <v>-1.4814814814814836E-2</v>
      </c>
      <c r="K337" s="14">
        <f t="shared" si="33"/>
        <v>5.5555555555555358E-3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35">
      <c r="A338" s="12">
        <v>44502</v>
      </c>
      <c r="B338" s="20">
        <v>12400</v>
      </c>
      <c r="C338" s="20">
        <v>26700</v>
      </c>
      <c r="D338" s="20">
        <v>9700</v>
      </c>
      <c r="E338" s="20">
        <v>27000</v>
      </c>
      <c r="F338" s="20">
        <v>18000</v>
      </c>
      <c r="G338" s="14">
        <f t="shared" si="29"/>
        <v>2.4793388429751984E-2</v>
      </c>
      <c r="H338" s="14">
        <f t="shared" si="30"/>
        <v>1.5209125475285079E-2</v>
      </c>
      <c r="I338" s="14">
        <f t="shared" si="31"/>
        <v>0</v>
      </c>
      <c r="J338" s="14">
        <f t="shared" si="32"/>
        <v>3.7174721189590088E-3</v>
      </c>
      <c r="K338" s="14">
        <f t="shared" si="33"/>
        <v>2.2727272727272707E-2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35">
      <c r="A339" s="12">
        <v>44501</v>
      </c>
      <c r="B339" s="20">
        <v>12100</v>
      </c>
      <c r="C339" s="20">
        <v>26300</v>
      </c>
      <c r="D339" s="20">
        <v>9700</v>
      </c>
      <c r="E339" s="20">
        <v>26900</v>
      </c>
      <c r="F339" s="20">
        <v>17600</v>
      </c>
      <c r="G339" s="14">
        <f t="shared" si="29"/>
        <v>0</v>
      </c>
      <c r="H339" s="14">
        <f t="shared" si="30"/>
        <v>-1.8975332068311701E-3</v>
      </c>
      <c r="I339" s="14">
        <f t="shared" si="31"/>
        <v>1.0416666666666741E-2</v>
      </c>
      <c r="J339" s="14">
        <f t="shared" si="32"/>
        <v>-1.1029411764705843E-2</v>
      </c>
      <c r="K339" s="14">
        <f t="shared" si="33"/>
        <v>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35">
      <c r="A340" s="12">
        <v>44498</v>
      </c>
      <c r="B340" s="20">
        <v>12100</v>
      </c>
      <c r="C340" s="20">
        <v>26350</v>
      </c>
      <c r="D340" s="20">
        <v>9600</v>
      </c>
      <c r="E340" s="20">
        <v>27200</v>
      </c>
      <c r="F340" s="20">
        <v>17600</v>
      </c>
      <c r="G340" s="14">
        <f t="shared" si="29"/>
        <v>-8.1967213114754189E-3</v>
      </c>
      <c r="H340" s="14">
        <f t="shared" si="30"/>
        <v>5.7251908396946938E-3</v>
      </c>
      <c r="I340" s="14">
        <f t="shared" si="31"/>
        <v>1.0526315789473717E-2</v>
      </c>
      <c r="J340" s="14">
        <f t="shared" si="32"/>
        <v>-3.66300366300365E-3</v>
      </c>
      <c r="K340" s="14">
        <f t="shared" si="33"/>
        <v>2.8490028490029129E-3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35">
      <c r="A341" s="12">
        <v>44497</v>
      </c>
      <c r="B341" s="20">
        <v>12200</v>
      </c>
      <c r="C341" s="20">
        <v>26200</v>
      </c>
      <c r="D341" s="20">
        <v>9500</v>
      </c>
      <c r="E341" s="20">
        <v>27300</v>
      </c>
      <c r="F341" s="20">
        <v>17550</v>
      </c>
      <c r="G341" s="14">
        <f t="shared" si="29"/>
        <v>2.5210084033613356E-2</v>
      </c>
      <c r="H341" s="14">
        <f t="shared" si="30"/>
        <v>1.5503875968992276E-2</v>
      </c>
      <c r="I341" s="14">
        <f t="shared" si="31"/>
        <v>-2.0618556701030966E-2</v>
      </c>
      <c r="J341" s="14">
        <f t="shared" si="32"/>
        <v>3.6764705882352811E-3</v>
      </c>
      <c r="K341" s="14">
        <f t="shared" si="33"/>
        <v>2.0348837209302362E-2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35">
      <c r="A342" s="12">
        <v>44496</v>
      </c>
      <c r="B342" s="20">
        <v>11900</v>
      </c>
      <c r="C342" s="20">
        <v>25800</v>
      </c>
      <c r="D342" s="20">
        <v>9700</v>
      </c>
      <c r="E342" s="20">
        <v>27200</v>
      </c>
      <c r="F342" s="20">
        <v>17200</v>
      </c>
      <c r="G342" s="14">
        <f t="shared" si="29"/>
        <v>-8.3333333333333037E-3</v>
      </c>
      <c r="H342" s="14">
        <f t="shared" si="30"/>
        <v>-5.4945054945054972E-2</v>
      </c>
      <c r="I342" s="14">
        <f t="shared" si="31"/>
        <v>-2.0202020202020221E-2</v>
      </c>
      <c r="J342" s="14">
        <f t="shared" si="32"/>
        <v>0</v>
      </c>
      <c r="K342" s="14">
        <f t="shared" si="33"/>
        <v>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35">
      <c r="A343" s="12">
        <v>44495</v>
      </c>
      <c r="B343" s="20">
        <v>12000</v>
      </c>
      <c r="C343" s="20">
        <v>27300</v>
      </c>
      <c r="D343" s="20">
        <v>9900</v>
      </c>
      <c r="E343" s="20">
        <v>27200</v>
      </c>
      <c r="F343" s="20">
        <v>17200</v>
      </c>
      <c r="G343" s="14">
        <f t="shared" si="29"/>
        <v>-3.2258064516129004E-2</v>
      </c>
      <c r="H343" s="14">
        <f t="shared" si="30"/>
        <v>-5.3726169844020788E-2</v>
      </c>
      <c r="I343" s="14">
        <f t="shared" si="31"/>
        <v>-1.980198019801982E-2</v>
      </c>
      <c r="J343" s="14">
        <f t="shared" si="32"/>
        <v>-2.1582733812949617E-2</v>
      </c>
      <c r="K343" s="14">
        <f t="shared" si="33"/>
        <v>-5.7534246575342451E-2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35">
      <c r="A344" s="12">
        <v>44494</v>
      </c>
      <c r="B344" s="20">
        <v>12400</v>
      </c>
      <c r="C344" s="20">
        <v>28850</v>
      </c>
      <c r="D344" s="20">
        <v>10100</v>
      </c>
      <c r="E344" s="20">
        <v>27800</v>
      </c>
      <c r="F344" s="20">
        <v>18250</v>
      </c>
      <c r="G344" s="14">
        <f t="shared" si="29"/>
        <v>0</v>
      </c>
      <c r="H344" s="14">
        <f t="shared" si="30"/>
        <v>-2.2033898305084731E-2</v>
      </c>
      <c r="I344" s="14">
        <f t="shared" si="31"/>
        <v>-9.8039215686274161E-3</v>
      </c>
      <c r="J344" s="14">
        <f t="shared" si="32"/>
        <v>0</v>
      </c>
      <c r="K344" s="14">
        <f t="shared" si="33"/>
        <v>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35">
      <c r="A345" s="12">
        <v>44491</v>
      </c>
      <c r="B345" s="20">
        <v>12400</v>
      </c>
      <c r="C345" s="20">
        <v>29500</v>
      </c>
      <c r="D345" s="20">
        <v>10200</v>
      </c>
      <c r="E345" s="20">
        <v>27800</v>
      </c>
      <c r="F345" s="20">
        <v>18250</v>
      </c>
      <c r="G345" s="14">
        <f t="shared" si="29"/>
        <v>-8.0000000000000071E-3</v>
      </c>
      <c r="H345" s="14">
        <f t="shared" si="30"/>
        <v>-1.6666666666666718E-2</v>
      </c>
      <c r="I345" s="14">
        <f t="shared" si="31"/>
        <v>9.9009900990099098E-3</v>
      </c>
      <c r="J345" s="14">
        <f t="shared" si="32"/>
        <v>-1.0676156583629859E-2</v>
      </c>
      <c r="K345" s="14">
        <f t="shared" si="33"/>
        <v>-1.3513513513513487E-2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35">
      <c r="A346" s="12">
        <v>44490</v>
      </c>
      <c r="B346" s="20">
        <v>12500</v>
      </c>
      <c r="C346" s="20">
        <v>30000</v>
      </c>
      <c r="D346" s="20">
        <v>10100</v>
      </c>
      <c r="E346" s="20">
        <v>28100</v>
      </c>
      <c r="F346" s="20">
        <v>18500</v>
      </c>
      <c r="G346" s="14">
        <f t="shared" si="29"/>
        <v>-2.34375E-2</v>
      </c>
      <c r="H346" s="14">
        <f t="shared" si="30"/>
        <v>-1.8003273322422242E-2</v>
      </c>
      <c r="I346" s="14">
        <f t="shared" si="31"/>
        <v>-2.8846153846153855E-2</v>
      </c>
      <c r="J346" s="14">
        <f t="shared" si="32"/>
        <v>2.3679417122040025E-2</v>
      </c>
      <c r="K346" s="14">
        <f t="shared" si="33"/>
        <v>-1.5957446808510634E-2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35">
      <c r="A347" s="12">
        <v>44489</v>
      </c>
      <c r="B347" s="20">
        <v>12800</v>
      </c>
      <c r="C347" s="20">
        <v>30550</v>
      </c>
      <c r="D347" s="20">
        <v>10400</v>
      </c>
      <c r="E347" s="20">
        <v>27450</v>
      </c>
      <c r="F347" s="20">
        <v>18800</v>
      </c>
      <c r="G347" s="14">
        <f t="shared" si="29"/>
        <v>7.8740157480314821E-3</v>
      </c>
      <c r="H347" s="14">
        <f t="shared" si="30"/>
        <v>-8.116883116883078E-3</v>
      </c>
      <c r="I347" s="14">
        <f t="shared" si="31"/>
        <v>2.9702970297029729E-2</v>
      </c>
      <c r="J347" s="14">
        <f t="shared" si="32"/>
        <v>1.8248175182482562E-3</v>
      </c>
      <c r="K347" s="14">
        <f t="shared" si="33"/>
        <v>5.3475935828877219E-3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35">
      <c r="A348" s="12">
        <v>44488</v>
      </c>
      <c r="B348" s="20">
        <v>12700</v>
      </c>
      <c r="C348" s="20">
        <v>30800</v>
      </c>
      <c r="D348" s="20">
        <v>10100</v>
      </c>
      <c r="E348" s="20">
        <v>27400</v>
      </c>
      <c r="F348" s="20">
        <v>18700</v>
      </c>
      <c r="G348" s="14">
        <f t="shared" si="29"/>
        <v>0</v>
      </c>
      <c r="H348" s="14">
        <f t="shared" si="30"/>
        <v>1.650165016501659E-2</v>
      </c>
      <c r="I348" s="14">
        <f t="shared" si="31"/>
        <v>1.0000000000000009E-2</v>
      </c>
      <c r="J348" s="14">
        <f t="shared" si="32"/>
        <v>0</v>
      </c>
      <c r="K348" s="14">
        <f t="shared" si="33"/>
        <v>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35">
      <c r="A349" s="12">
        <v>44487</v>
      </c>
      <c r="B349" s="20">
        <v>12700</v>
      </c>
      <c r="C349" s="20">
        <v>30300</v>
      </c>
      <c r="D349" s="20">
        <v>10000</v>
      </c>
      <c r="E349" s="20">
        <v>27400</v>
      </c>
      <c r="F349" s="20">
        <v>18700</v>
      </c>
      <c r="G349" s="14">
        <f t="shared" si="29"/>
        <v>3.2520325203251987E-2</v>
      </c>
      <c r="H349" s="14">
        <f t="shared" si="30"/>
        <v>5.2083333333333259E-2</v>
      </c>
      <c r="I349" s="14">
        <f t="shared" si="31"/>
        <v>2.0408163265306145E-2</v>
      </c>
      <c r="J349" s="14">
        <f t="shared" si="32"/>
        <v>1.1070110701107083E-2</v>
      </c>
      <c r="K349" s="14">
        <f t="shared" si="33"/>
        <v>2.1857923497267784E-2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35">
      <c r="A350" s="12">
        <v>44484</v>
      </c>
      <c r="B350" s="20">
        <v>12300</v>
      </c>
      <c r="C350" s="20">
        <v>28800</v>
      </c>
      <c r="D350" s="20">
        <v>9800</v>
      </c>
      <c r="E350" s="20">
        <v>27100</v>
      </c>
      <c r="F350" s="20">
        <v>18300</v>
      </c>
      <c r="G350" s="14">
        <f t="shared" si="29"/>
        <v>-8.0645161290322509E-3</v>
      </c>
      <c r="H350" s="14">
        <f t="shared" si="30"/>
        <v>0</v>
      </c>
      <c r="I350" s="14">
        <f t="shared" si="31"/>
        <v>0</v>
      </c>
      <c r="J350" s="14">
        <f t="shared" si="32"/>
        <v>0</v>
      </c>
      <c r="K350" s="14">
        <f t="shared" si="33"/>
        <v>5.494505494505475E-3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35">
      <c r="A351" s="12">
        <v>44483</v>
      </c>
      <c r="B351" s="20">
        <v>12400</v>
      </c>
      <c r="C351" s="20">
        <v>28800</v>
      </c>
      <c r="D351" s="20">
        <v>9800</v>
      </c>
      <c r="E351" s="20">
        <v>27100</v>
      </c>
      <c r="F351" s="20">
        <v>18200</v>
      </c>
      <c r="G351" s="14">
        <f t="shared" si="29"/>
        <v>8.1300813008129413E-3</v>
      </c>
      <c r="H351" s="14">
        <f t="shared" si="30"/>
        <v>4.7272727272727355E-2</v>
      </c>
      <c r="I351" s="14">
        <f t="shared" si="31"/>
        <v>0</v>
      </c>
      <c r="J351" s="14">
        <f t="shared" si="32"/>
        <v>0</v>
      </c>
      <c r="K351" s="14">
        <f t="shared" si="33"/>
        <v>-5.464480874316946E-3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35">
      <c r="A352" s="12">
        <v>44482</v>
      </c>
      <c r="B352" s="20">
        <v>12300</v>
      </c>
      <c r="C352" s="20">
        <v>27500</v>
      </c>
      <c r="D352" s="20">
        <v>9800</v>
      </c>
      <c r="E352" s="20">
        <v>27100</v>
      </c>
      <c r="F352" s="20">
        <v>18300</v>
      </c>
      <c r="G352" s="14">
        <f t="shared" si="29"/>
        <v>3.3613445378151363E-2</v>
      </c>
      <c r="H352" s="14">
        <f t="shared" si="30"/>
        <v>4.961832061068705E-2</v>
      </c>
      <c r="I352" s="14">
        <f t="shared" si="31"/>
        <v>3.1578947368421151E-2</v>
      </c>
      <c r="J352" s="14">
        <f t="shared" si="32"/>
        <v>7.4349442379182396E-3</v>
      </c>
      <c r="K352" s="14">
        <f t="shared" si="33"/>
        <v>1.6666666666666607E-2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35">
      <c r="A353" s="12">
        <v>44481</v>
      </c>
      <c r="B353" s="20">
        <v>11900</v>
      </c>
      <c r="C353" s="20">
        <v>26200</v>
      </c>
      <c r="D353" s="20">
        <v>9500</v>
      </c>
      <c r="E353" s="20">
        <v>26900</v>
      </c>
      <c r="F353" s="20">
        <v>18000</v>
      </c>
      <c r="G353" s="14">
        <f t="shared" si="29"/>
        <v>-4.8000000000000043E-2</v>
      </c>
      <c r="H353" s="14">
        <f t="shared" si="30"/>
        <v>-2.0560747663551426E-2</v>
      </c>
      <c r="I353" s="14">
        <f t="shared" si="31"/>
        <v>-5.9405940594059459E-2</v>
      </c>
      <c r="J353" s="14">
        <f t="shared" si="32"/>
        <v>-7.3800738007380184E-3</v>
      </c>
      <c r="K353" s="14">
        <f t="shared" si="33"/>
        <v>-5.2631578947368474E-2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35">
      <c r="A354" s="12">
        <v>44480</v>
      </c>
      <c r="B354" s="20">
        <v>12500</v>
      </c>
      <c r="C354" s="20">
        <v>26750</v>
      </c>
      <c r="D354" s="20">
        <v>10100</v>
      </c>
      <c r="E354" s="20">
        <v>27100</v>
      </c>
      <c r="F354" s="20">
        <v>19000</v>
      </c>
      <c r="G354" s="14">
        <f t="shared" si="29"/>
        <v>0</v>
      </c>
      <c r="H354" s="14">
        <f t="shared" si="30"/>
        <v>-7.4211502782931538E-3</v>
      </c>
      <c r="I354" s="14">
        <f t="shared" si="31"/>
        <v>1.0000000000000009E-2</v>
      </c>
      <c r="J354" s="14">
        <f t="shared" si="32"/>
        <v>0</v>
      </c>
      <c r="K354" s="14">
        <f t="shared" si="33"/>
        <v>-3.7974683544303778E-2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35">
      <c r="A355" s="12">
        <v>44477</v>
      </c>
      <c r="B355" s="20">
        <v>12500</v>
      </c>
      <c r="C355" s="20">
        <v>26950</v>
      </c>
      <c r="D355" s="20">
        <v>10000</v>
      </c>
      <c r="E355" s="20">
        <v>27100</v>
      </c>
      <c r="F355" s="20">
        <v>19750</v>
      </c>
      <c r="G355" s="14">
        <f t="shared" si="29"/>
        <v>-8.0882352941176516E-2</v>
      </c>
      <c r="H355" s="14">
        <f t="shared" si="30"/>
        <v>-6.9084628670120884E-2</v>
      </c>
      <c r="I355" s="14">
        <f t="shared" si="31"/>
        <v>-9.0909090909090939E-2</v>
      </c>
      <c r="J355" s="14">
        <f t="shared" si="32"/>
        <v>-7.3260073260073E-3</v>
      </c>
      <c r="K355" s="14">
        <f t="shared" si="33"/>
        <v>-6.8396226415094352E-2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35">
      <c r="A356" s="12">
        <v>44476</v>
      </c>
      <c r="B356" s="20">
        <v>13600</v>
      </c>
      <c r="C356" s="20">
        <v>28950</v>
      </c>
      <c r="D356" s="20">
        <v>11000</v>
      </c>
      <c r="E356" s="20">
        <v>27300</v>
      </c>
      <c r="F356" s="20">
        <v>21200</v>
      </c>
      <c r="G356" s="14">
        <f t="shared" si="29"/>
        <v>-7.2992700729926918E-3</v>
      </c>
      <c r="H356" s="14">
        <f t="shared" si="30"/>
        <v>-1.8644067796610209E-2</v>
      </c>
      <c r="I356" s="14">
        <f t="shared" si="31"/>
        <v>0</v>
      </c>
      <c r="J356" s="14">
        <f t="shared" si="32"/>
        <v>0</v>
      </c>
      <c r="K356" s="14">
        <f t="shared" si="33"/>
        <v>4.1769041769041726E-2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35">
      <c r="A357" s="12">
        <v>44475</v>
      </c>
      <c r="B357" s="20">
        <v>13700</v>
      </c>
      <c r="C357" s="20">
        <v>29500</v>
      </c>
      <c r="D357" s="20">
        <v>11000</v>
      </c>
      <c r="E357" s="20">
        <v>27300</v>
      </c>
      <c r="F357" s="20">
        <v>20350</v>
      </c>
      <c r="G357" s="14">
        <f t="shared" si="29"/>
        <v>-2.1428571428571463E-2</v>
      </c>
      <c r="H357" s="14">
        <f t="shared" si="30"/>
        <v>-1.5025041736227096E-2</v>
      </c>
      <c r="I357" s="14">
        <f t="shared" si="31"/>
        <v>-1.7857142857142905E-2</v>
      </c>
      <c r="J357" s="14">
        <f t="shared" si="32"/>
        <v>-7.2727272727273196E-3</v>
      </c>
      <c r="K357" s="14">
        <f t="shared" si="33"/>
        <v>3.8265306122448939E-2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35">
      <c r="A358" s="12">
        <v>44474</v>
      </c>
      <c r="B358" s="20">
        <v>14000</v>
      </c>
      <c r="C358" s="20">
        <v>29950</v>
      </c>
      <c r="D358" s="20">
        <v>11200</v>
      </c>
      <c r="E358" s="20">
        <v>27500</v>
      </c>
      <c r="F358" s="20">
        <v>19600</v>
      </c>
      <c r="G358" s="14">
        <f t="shared" si="29"/>
        <v>4.4776119402984982E-2</v>
      </c>
      <c r="H358" s="14">
        <f t="shared" si="30"/>
        <v>4.5375218150087271E-2</v>
      </c>
      <c r="I358" s="14">
        <f t="shared" si="31"/>
        <v>1.8181818181818077E-2</v>
      </c>
      <c r="J358" s="14">
        <f t="shared" si="32"/>
        <v>1.1029411764705843E-2</v>
      </c>
      <c r="K358" s="14">
        <f t="shared" si="33"/>
        <v>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35">
      <c r="A359" s="12">
        <v>44473</v>
      </c>
      <c r="B359" s="20">
        <v>13400</v>
      </c>
      <c r="C359" s="20">
        <v>28650</v>
      </c>
      <c r="D359" s="20">
        <v>11000</v>
      </c>
      <c r="E359" s="20">
        <v>27200</v>
      </c>
      <c r="F359" s="20">
        <v>19600</v>
      </c>
      <c r="G359" s="14">
        <f t="shared" si="29"/>
        <v>1.5151515151515138E-2</v>
      </c>
      <c r="H359" s="14">
        <f t="shared" si="30"/>
        <v>6.9029850746268551E-2</v>
      </c>
      <c r="I359" s="14">
        <f t="shared" si="31"/>
        <v>5.7692307692307709E-2</v>
      </c>
      <c r="J359" s="14">
        <f t="shared" si="32"/>
        <v>3.6900369003689537E-3</v>
      </c>
      <c r="K359" s="14">
        <f t="shared" si="33"/>
        <v>1.5544041450777257E-2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35">
      <c r="A360" s="12">
        <v>44470</v>
      </c>
      <c r="B360" s="20">
        <v>13200</v>
      </c>
      <c r="C360" s="20">
        <v>26800</v>
      </c>
      <c r="D360" s="20">
        <v>10400</v>
      </c>
      <c r="E360" s="20">
        <v>27100</v>
      </c>
      <c r="F360" s="20">
        <v>19300</v>
      </c>
      <c r="G360" s="14">
        <f t="shared" si="29"/>
        <v>-1.4925373134328401E-2</v>
      </c>
      <c r="H360" s="14">
        <f t="shared" si="30"/>
        <v>3.7453183520599342E-3</v>
      </c>
      <c r="I360" s="14">
        <f t="shared" si="31"/>
        <v>9.473684210526323E-2</v>
      </c>
      <c r="J360" s="14">
        <f t="shared" si="32"/>
        <v>0</v>
      </c>
      <c r="K360" s="14">
        <f t="shared" si="33"/>
        <v>-1.025641025641022E-2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35">
      <c r="A361" s="12">
        <v>44469</v>
      </c>
      <c r="B361" s="20">
        <v>13400</v>
      </c>
      <c r="C361" s="20">
        <v>26700</v>
      </c>
      <c r="D361" s="20">
        <v>9500</v>
      </c>
      <c r="E361" s="20">
        <v>27100</v>
      </c>
      <c r="F361" s="20">
        <v>19500</v>
      </c>
      <c r="G361" s="14">
        <f t="shared" si="29"/>
        <v>2.2900763358778553E-2</v>
      </c>
      <c r="H361" s="14">
        <f t="shared" si="30"/>
        <v>0</v>
      </c>
      <c r="I361" s="14">
        <f t="shared" si="31"/>
        <v>0</v>
      </c>
      <c r="J361" s="14">
        <f t="shared" si="32"/>
        <v>0</v>
      </c>
      <c r="K361" s="14">
        <f t="shared" si="33"/>
        <v>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35">
      <c r="A362" s="12">
        <v>44468</v>
      </c>
      <c r="B362" s="20">
        <v>13100</v>
      </c>
      <c r="C362" s="20">
        <v>26700</v>
      </c>
      <c r="D362" s="20">
        <v>9500</v>
      </c>
      <c r="E362" s="20">
        <v>27100</v>
      </c>
      <c r="F362" s="20">
        <v>19500</v>
      </c>
      <c r="G362" s="14">
        <f t="shared" si="29"/>
        <v>2.34375E-2</v>
      </c>
      <c r="H362" s="14">
        <f t="shared" si="30"/>
        <v>7.547169811320753E-3</v>
      </c>
      <c r="I362" s="14">
        <f t="shared" si="31"/>
        <v>0</v>
      </c>
      <c r="J362" s="14">
        <f t="shared" si="32"/>
        <v>-3.6764705882352811E-3</v>
      </c>
      <c r="K362" s="14">
        <f t="shared" si="33"/>
        <v>-1.2658227848101222E-2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35">
      <c r="A363" s="12">
        <v>44467</v>
      </c>
      <c r="B363" s="20">
        <v>12800</v>
      </c>
      <c r="C363" s="20">
        <v>26500</v>
      </c>
      <c r="D363" s="20">
        <v>9500</v>
      </c>
      <c r="E363" s="20">
        <v>27200</v>
      </c>
      <c r="F363" s="20">
        <v>19750</v>
      </c>
      <c r="G363" s="14">
        <f t="shared" si="29"/>
        <v>1.5873015873015817E-2</v>
      </c>
      <c r="H363" s="14">
        <f t="shared" si="30"/>
        <v>-7.4906367041198685E-3</v>
      </c>
      <c r="I363" s="14">
        <f t="shared" si="31"/>
        <v>1.0638297872340496E-2</v>
      </c>
      <c r="J363" s="14">
        <f t="shared" si="32"/>
        <v>0</v>
      </c>
      <c r="K363" s="14">
        <f t="shared" si="33"/>
        <v>3.1331592689294974E-2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35">
      <c r="A364" s="12">
        <v>44466</v>
      </c>
      <c r="B364" s="20">
        <v>12600</v>
      </c>
      <c r="C364" s="20">
        <v>26700</v>
      </c>
      <c r="D364" s="20">
        <v>9400</v>
      </c>
      <c r="E364" s="20">
        <v>27200</v>
      </c>
      <c r="F364" s="20">
        <v>19150</v>
      </c>
      <c r="G364" s="14">
        <f t="shared" si="29"/>
        <v>0</v>
      </c>
      <c r="H364" s="14">
        <f t="shared" si="30"/>
        <v>-1.1111111111111072E-2</v>
      </c>
      <c r="I364" s="14">
        <f t="shared" si="31"/>
        <v>0</v>
      </c>
      <c r="J364" s="14">
        <f t="shared" si="32"/>
        <v>-1.8348623853210455E-3</v>
      </c>
      <c r="K364" s="14">
        <f t="shared" si="33"/>
        <v>2.6178010471205049E-3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35">
      <c r="A365" s="12">
        <v>44463</v>
      </c>
      <c r="B365" s="20">
        <v>12600</v>
      </c>
      <c r="C365" s="20">
        <v>27000</v>
      </c>
      <c r="D365" s="20">
        <v>9400</v>
      </c>
      <c r="E365" s="20">
        <v>27250</v>
      </c>
      <c r="F365" s="20">
        <v>19100</v>
      </c>
      <c r="G365" s="14">
        <f t="shared" si="29"/>
        <v>-1.5625E-2</v>
      </c>
      <c r="H365" s="14">
        <f t="shared" si="30"/>
        <v>-9.1743119266054496E-3</v>
      </c>
      <c r="I365" s="14">
        <f t="shared" si="31"/>
        <v>0</v>
      </c>
      <c r="J365" s="14">
        <f t="shared" si="32"/>
        <v>5.5350553505535416E-3</v>
      </c>
      <c r="K365" s="14">
        <f t="shared" si="33"/>
        <v>-5.2083333333333703E-3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35">
      <c r="A366" s="12">
        <v>44462</v>
      </c>
      <c r="B366" s="20">
        <v>12800</v>
      </c>
      <c r="C366" s="20">
        <v>27250</v>
      </c>
      <c r="D366" s="20">
        <v>9400</v>
      </c>
      <c r="E366" s="20">
        <v>27100</v>
      </c>
      <c r="F366" s="20">
        <v>19200</v>
      </c>
      <c r="G366" s="14">
        <f t="shared" si="29"/>
        <v>-1.538461538461533E-2</v>
      </c>
      <c r="H366" s="14">
        <f t="shared" si="30"/>
        <v>5.5350553505535416E-3</v>
      </c>
      <c r="I366" s="14">
        <f t="shared" si="31"/>
        <v>3.2967032967033072E-2</v>
      </c>
      <c r="J366" s="14">
        <f t="shared" si="32"/>
        <v>-7.3260073260073E-3</v>
      </c>
      <c r="K366" s="14">
        <f t="shared" si="33"/>
        <v>-5.1813471502590858E-3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35">
      <c r="A367" s="12">
        <v>44461</v>
      </c>
      <c r="B367" s="20">
        <v>13000</v>
      </c>
      <c r="C367" s="20">
        <v>27100</v>
      </c>
      <c r="D367" s="20">
        <v>9100</v>
      </c>
      <c r="E367" s="20">
        <v>27300</v>
      </c>
      <c r="F367" s="20">
        <v>19300</v>
      </c>
      <c r="G367" s="14">
        <f t="shared" si="29"/>
        <v>3.1746031746031855E-2</v>
      </c>
      <c r="H367" s="14">
        <f t="shared" si="30"/>
        <v>1.1194029850746245E-2</v>
      </c>
      <c r="I367" s="14">
        <f t="shared" si="31"/>
        <v>2.2471910112359605E-2</v>
      </c>
      <c r="J367" s="14">
        <f t="shared" si="32"/>
        <v>3.6764705882352811E-3</v>
      </c>
      <c r="K367" s="14">
        <f t="shared" si="33"/>
        <v>2.659574468085113E-2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35">
      <c r="A368" s="12">
        <v>44460</v>
      </c>
      <c r="B368" s="20">
        <v>12600</v>
      </c>
      <c r="C368" s="20">
        <v>26800</v>
      </c>
      <c r="D368" s="20">
        <v>8900</v>
      </c>
      <c r="E368" s="20">
        <v>27200</v>
      </c>
      <c r="F368" s="20">
        <v>18800</v>
      </c>
      <c r="G368" s="14">
        <f t="shared" si="29"/>
        <v>1.6129032258064502E-2</v>
      </c>
      <c r="H368" s="14">
        <f t="shared" si="30"/>
        <v>1.5151515151515138E-2</v>
      </c>
      <c r="I368" s="14">
        <f t="shared" si="31"/>
        <v>0</v>
      </c>
      <c r="J368" s="14">
        <f t="shared" si="32"/>
        <v>0</v>
      </c>
      <c r="K368" s="14">
        <f t="shared" si="33"/>
        <v>1.0752688172043001E-2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35">
      <c r="A369" s="12">
        <v>44459</v>
      </c>
      <c r="B369" s="20">
        <v>12400</v>
      </c>
      <c r="C369" s="20">
        <v>26400</v>
      </c>
      <c r="D369" s="20">
        <v>8900</v>
      </c>
      <c r="E369" s="20">
        <v>27200</v>
      </c>
      <c r="F369" s="20">
        <v>18600</v>
      </c>
      <c r="G369" s="14">
        <f t="shared" si="29"/>
        <v>-3.8759689922480578E-2</v>
      </c>
      <c r="H369" s="14">
        <f t="shared" si="30"/>
        <v>-3.7735849056603765E-3</v>
      </c>
      <c r="I369" s="14">
        <f t="shared" si="31"/>
        <v>0</v>
      </c>
      <c r="J369" s="14">
        <f t="shared" si="32"/>
        <v>-1.0909090909090868E-2</v>
      </c>
      <c r="K369" s="14">
        <f t="shared" si="33"/>
        <v>-1.0638297872340385E-2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35">
      <c r="A370" s="12">
        <v>44456</v>
      </c>
      <c r="B370" s="20">
        <v>12900</v>
      </c>
      <c r="C370" s="20">
        <v>26500</v>
      </c>
      <c r="D370" s="20">
        <v>8900</v>
      </c>
      <c r="E370" s="20">
        <v>27500</v>
      </c>
      <c r="F370" s="20">
        <v>18800</v>
      </c>
      <c r="G370" s="14">
        <f t="shared" si="29"/>
        <v>0</v>
      </c>
      <c r="H370" s="14">
        <f t="shared" si="30"/>
        <v>-7.4906367041198685E-3</v>
      </c>
      <c r="I370" s="14">
        <f t="shared" si="31"/>
        <v>-1.1111111111111072E-2</v>
      </c>
      <c r="J370" s="14">
        <f t="shared" si="32"/>
        <v>3.6496350364962904E-3</v>
      </c>
      <c r="K370" s="14">
        <f t="shared" si="33"/>
        <v>-7.9155672823219003E-3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35">
      <c r="A371" s="12">
        <v>44455</v>
      </c>
      <c r="B371" s="20">
        <v>12900</v>
      </c>
      <c r="C371" s="20">
        <v>26700</v>
      </c>
      <c r="D371" s="20">
        <v>9000</v>
      </c>
      <c r="E371" s="20">
        <v>27400</v>
      </c>
      <c r="F371" s="20">
        <v>18950</v>
      </c>
      <c r="G371" s="14">
        <f t="shared" si="29"/>
        <v>-1.5267175572519109E-2</v>
      </c>
      <c r="H371" s="14">
        <f t="shared" si="30"/>
        <v>1.1363636363636465E-2</v>
      </c>
      <c r="I371" s="14">
        <f t="shared" si="31"/>
        <v>0</v>
      </c>
      <c r="J371" s="14">
        <f t="shared" si="32"/>
        <v>0</v>
      </c>
      <c r="K371" s="14">
        <f t="shared" si="33"/>
        <v>1.3368983957219305E-2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35">
      <c r="A372" s="12">
        <v>44454</v>
      </c>
      <c r="B372" s="20">
        <v>13100</v>
      </c>
      <c r="C372" s="20">
        <v>26400</v>
      </c>
      <c r="D372" s="20">
        <v>9000</v>
      </c>
      <c r="E372" s="20">
        <v>27400</v>
      </c>
      <c r="F372" s="20">
        <v>18700</v>
      </c>
      <c r="G372" s="14">
        <f t="shared" si="29"/>
        <v>7.692307692307665E-3</v>
      </c>
      <c r="H372" s="14">
        <f t="shared" si="30"/>
        <v>3.3268101761252389E-2</v>
      </c>
      <c r="I372" s="14">
        <f t="shared" si="31"/>
        <v>2.2727272727272707E-2</v>
      </c>
      <c r="J372" s="14">
        <f t="shared" si="32"/>
        <v>1.8281535648994041E-3</v>
      </c>
      <c r="K372" s="14">
        <f t="shared" si="33"/>
        <v>-1.0582010582010581E-2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5">
      <c r="A373" s="12">
        <v>44453</v>
      </c>
      <c r="B373" s="20">
        <v>13000</v>
      </c>
      <c r="C373" s="20">
        <v>25550</v>
      </c>
      <c r="D373" s="20">
        <v>8800</v>
      </c>
      <c r="E373" s="20">
        <v>27350</v>
      </c>
      <c r="F373" s="20">
        <v>18900</v>
      </c>
      <c r="G373" s="14">
        <f t="shared" si="29"/>
        <v>1.5625E-2</v>
      </c>
      <c r="H373" s="14">
        <f t="shared" si="30"/>
        <v>-1.3513513513513487E-2</v>
      </c>
      <c r="I373" s="14">
        <f t="shared" si="31"/>
        <v>0</v>
      </c>
      <c r="J373" s="14">
        <f t="shared" si="32"/>
        <v>0</v>
      </c>
      <c r="K373" s="14">
        <f t="shared" si="33"/>
        <v>1.3404825737265424E-2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5">
      <c r="A374" s="12">
        <v>44452</v>
      </c>
      <c r="B374" s="20">
        <v>12800</v>
      </c>
      <c r="C374" s="20">
        <v>25900</v>
      </c>
      <c r="D374" s="20">
        <v>8800</v>
      </c>
      <c r="E374" s="20">
        <v>27350</v>
      </c>
      <c r="F374" s="20">
        <v>18650</v>
      </c>
      <c r="G374" s="14">
        <f t="shared" si="29"/>
        <v>0</v>
      </c>
      <c r="H374" s="14">
        <f t="shared" si="30"/>
        <v>-1.3333333333333308E-2</v>
      </c>
      <c r="I374" s="14">
        <f t="shared" si="31"/>
        <v>-1.1235955056179803E-2</v>
      </c>
      <c r="J374" s="14">
        <f t="shared" si="32"/>
        <v>1.831501831501825E-3</v>
      </c>
      <c r="K374" s="14">
        <f t="shared" si="33"/>
        <v>-4.3589743589743546E-2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5">
      <c r="A375" s="12">
        <v>44449</v>
      </c>
      <c r="B375" s="20">
        <v>12800</v>
      </c>
      <c r="C375" s="20">
        <v>26250</v>
      </c>
      <c r="D375" s="20">
        <v>8900</v>
      </c>
      <c r="E375" s="20">
        <v>27300</v>
      </c>
      <c r="F375" s="20">
        <v>19500</v>
      </c>
      <c r="G375" s="14">
        <f t="shared" si="29"/>
        <v>-1.538461538461533E-2</v>
      </c>
      <c r="H375" s="14">
        <f t="shared" si="30"/>
        <v>-1.8691588785046731E-2</v>
      </c>
      <c r="I375" s="14">
        <f t="shared" si="31"/>
        <v>0</v>
      </c>
      <c r="J375" s="14">
        <f t="shared" si="32"/>
        <v>0</v>
      </c>
      <c r="K375" s="14">
        <f t="shared" si="33"/>
        <v>-2.2556390977443663E-2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5">
      <c r="A376" s="12">
        <v>44448</v>
      </c>
      <c r="B376" s="20">
        <v>13000</v>
      </c>
      <c r="C376" s="20">
        <v>26750</v>
      </c>
      <c r="D376" s="20">
        <v>8900</v>
      </c>
      <c r="E376" s="20">
        <v>27300</v>
      </c>
      <c r="F376" s="20">
        <v>19950</v>
      </c>
      <c r="G376" s="14">
        <f t="shared" si="29"/>
        <v>7.7519379844961378E-3</v>
      </c>
      <c r="H376" s="14">
        <f t="shared" si="30"/>
        <v>2.0992366412213803E-2</v>
      </c>
      <c r="I376" s="14">
        <f t="shared" si="31"/>
        <v>-1.1111111111111072E-2</v>
      </c>
      <c r="J376" s="14">
        <f t="shared" si="32"/>
        <v>-3.6496350364964014E-3</v>
      </c>
      <c r="K376" s="14">
        <f t="shared" si="33"/>
        <v>5.0000000000000044E-2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5">
      <c r="A377" s="12">
        <v>44447</v>
      </c>
      <c r="B377" s="20">
        <v>12900</v>
      </c>
      <c r="C377" s="20">
        <v>26200</v>
      </c>
      <c r="D377" s="20">
        <v>9000</v>
      </c>
      <c r="E377" s="20">
        <v>27400</v>
      </c>
      <c r="F377" s="20">
        <v>19000</v>
      </c>
      <c r="G377" s="14">
        <f t="shared" si="29"/>
        <v>1.5748031496062964E-2</v>
      </c>
      <c r="H377" s="14">
        <f t="shared" si="30"/>
        <v>4.3824701195219085E-2</v>
      </c>
      <c r="I377" s="14">
        <f t="shared" si="31"/>
        <v>0</v>
      </c>
      <c r="J377" s="14">
        <f t="shared" si="32"/>
        <v>0</v>
      </c>
      <c r="K377" s="14">
        <f t="shared" si="33"/>
        <v>5.8495821727019504E-2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5">
      <c r="A378" s="12">
        <v>44446</v>
      </c>
      <c r="B378" s="20">
        <v>12700</v>
      </c>
      <c r="C378" s="20">
        <v>25100</v>
      </c>
      <c r="D378" s="20">
        <v>9000</v>
      </c>
      <c r="E378" s="20">
        <v>27400</v>
      </c>
      <c r="F378" s="20">
        <v>17950</v>
      </c>
      <c r="G378" s="14">
        <f t="shared" si="29"/>
        <v>4.9586776859504189E-2</v>
      </c>
      <c r="H378" s="14">
        <f t="shared" si="30"/>
        <v>2.0325203252032464E-2</v>
      </c>
      <c r="I378" s="14">
        <f t="shared" si="31"/>
        <v>3.4482758620689724E-2</v>
      </c>
      <c r="J378" s="14">
        <f t="shared" si="32"/>
        <v>9.208103130755152E-3</v>
      </c>
      <c r="K378" s="14">
        <f t="shared" si="33"/>
        <v>8.4269662921347965E-3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5">
      <c r="A379" s="12">
        <v>44445</v>
      </c>
      <c r="B379" s="20">
        <v>12100</v>
      </c>
      <c r="C379" s="20">
        <v>24600</v>
      </c>
      <c r="D379" s="20">
        <v>8700</v>
      </c>
      <c r="E379" s="20">
        <v>27150</v>
      </c>
      <c r="F379" s="20">
        <v>17800</v>
      </c>
      <c r="G379" s="14">
        <f t="shared" si="29"/>
        <v>8.3333333333333037E-3</v>
      </c>
      <c r="H379" s="14">
        <f t="shared" si="30"/>
        <v>1.4432989690721598E-2</v>
      </c>
      <c r="I379" s="14">
        <f t="shared" si="31"/>
        <v>1.1627906976744207E-2</v>
      </c>
      <c r="J379" s="14">
        <f t="shared" si="32"/>
        <v>1.8450184501845879E-3</v>
      </c>
      <c r="K379" s="14">
        <f t="shared" si="33"/>
        <v>-1.6574585635359074E-2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5">
      <c r="A380" s="12">
        <v>44440</v>
      </c>
      <c r="B380" s="20">
        <v>12000</v>
      </c>
      <c r="C380" s="20">
        <v>24250</v>
      </c>
      <c r="D380" s="20">
        <v>8600</v>
      </c>
      <c r="E380" s="20">
        <v>27100</v>
      </c>
      <c r="F380" s="20">
        <v>18100</v>
      </c>
      <c r="G380" s="14">
        <f t="shared" si="29"/>
        <v>-8.2644628099173278E-3</v>
      </c>
      <c r="H380" s="14">
        <f t="shared" si="30"/>
        <v>1.2526096033402823E-2</v>
      </c>
      <c r="I380" s="14">
        <f t="shared" si="31"/>
        <v>-1.1494252873563204E-2</v>
      </c>
      <c r="J380" s="14">
        <f t="shared" si="32"/>
        <v>0</v>
      </c>
      <c r="K380" s="14">
        <f t="shared" si="33"/>
        <v>5.232558139534893E-2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5">
      <c r="A381" s="12">
        <v>44439</v>
      </c>
      <c r="B381" s="20">
        <v>12100</v>
      </c>
      <c r="C381" s="20">
        <v>23950</v>
      </c>
      <c r="D381" s="20">
        <v>8700</v>
      </c>
      <c r="E381" s="20">
        <v>27100</v>
      </c>
      <c r="F381" s="20">
        <v>17200</v>
      </c>
      <c r="G381" s="14">
        <f t="shared" si="29"/>
        <v>2.5423728813559254E-2</v>
      </c>
      <c r="H381" s="14">
        <f t="shared" si="30"/>
        <v>1.9148936170212849E-2</v>
      </c>
      <c r="I381" s="14">
        <f t="shared" si="31"/>
        <v>1.1627906976744207E-2</v>
      </c>
      <c r="J381" s="14">
        <f t="shared" si="32"/>
        <v>-7.3260073260073E-3</v>
      </c>
      <c r="K381" s="14">
        <f t="shared" si="33"/>
        <v>-2.2727272727272707E-2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5">
      <c r="A382" s="12">
        <v>44438</v>
      </c>
      <c r="B382" s="20">
        <v>11800</v>
      </c>
      <c r="C382" s="20">
        <v>23500</v>
      </c>
      <c r="D382" s="20">
        <v>8600</v>
      </c>
      <c r="E382" s="20">
        <v>27300</v>
      </c>
      <c r="F382" s="20">
        <v>17600</v>
      </c>
      <c r="G382" s="14">
        <f t="shared" si="29"/>
        <v>2.6086956521739202E-2</v>
      </c>
      <c r="H382" s="14">
        <f t="shared" si="30"/>
        <v>0</v>
      </c>
      <c r="I382" s="14">
        <f t="shared" si="31"/>
        <v>-1.1494252873563204E-2</v>
      </c>
      <c r="J382" s="14">
        <f t="shared" si="32"/>
        <v>0</v>
      </c>
      <c r="K382" s="14">
        <f t="shared" si="33"/>
        <v>3.529411764705892E-2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5">
      <c r="A383" s="12">
        <v>44435</v>
      </c>
      <c r="B383" s="20">
        <v>11500</v>
      </c>
      <c r="C383" s="20">
        <v>23500</v>
      </c>
      <c r="D383" s="20">
        <v>8700</v>
      </c>
      <c r="E383" s="20">
        <v>27300</v>
      </c>
      <c r="F383" s="20">
        <v>17000</v>
      </c>
      <c r="G383" s="14">
        <f t="shared" si="29"/>
        <v>-8.6206896551723755E-3</v>
      </c>
      <c r="H383" s="14">
        <f t="shared" si="30"/>
        <v>2.8446389496717739E-2</v>
      </c>
      <c r="I383" s="14">
        <f t="shared" si="31"/>
        <v>0</v>
      </c>
      <c r="J383" s="14">
        <f t="shared" si="32"/>
        <v>-1.7985611510791366E-2</v>
      </c>
      <c r="K383" s="14">
        <f t="shared" si="33"/>
        <v>-3.9548022598870025E-2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5">
      <c r="A384" s="12">
        <v>44434</v>
      </c>
      <c r="B384" s="20">
        <v>11600</v>
      </c>
      <c r="C384" s="20">
        <v>22850</v>
      </c>
      <c r="D384" s="20">
        <v>8700</v>
      </c>
      <c r="E384" s="20">
        <v>27800</v>
      </c>
      <c r="F384" s="20">
        <v>17700</v>
      </c>
      <c r="G384" s="14">
        <f t="shared" si="29"/>
        <v>2.6548672566371723E-2</v>
      </c>
      <c r="H384" s="14">
        <f t="shared" si="30"/>
        <v>6.6079295154184425E-3</v>
      </c>
      <c r="I384" s="14">
        <f t="shared" si="31"/>
        <v>0</v>
      </c>
      <c r="J384" s="14">
        <f t="shared" si="32"/>
        <v>5.5028462998102379E-2</v>
      </c>
      <c r="K384" s="14">
        <f t="shared" si="33"/>
        <v>-3.2786885245901676E-2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35">
      <c r="A385" s="12">
        <v>44433</v>
      </c>
      <c r="B385" s="20">
        <v>11300</v>
      </c>
      <c r="C385" s="20">
        <v>22700</v>
      </c>
      <c r="D385" s="20">
        <v>8700</v>
      </c>
      <c r="E385" s="20">
        <v>26350</v>
      </c>
      <c r="F385" s="20">
        <v>18300</v>
      </c>
      <c r="G385" s="14">
        <f t="shared" si="29"/>
        <v>-2.5862068965517238E-2</v>
      </c>
      <c r="H385" s="14">
        <f t="shared" si="30"/>
        <v>1.3392857142857206E-2</v>
      </c>
      <c r="I385" s="14">
        <f t="shared" si="31"/>
        <v>0</v>
      </c>
      <c r="J385" s="14">
        <f t="shared" si="32"/>
        <v>-5.6603773584905648E-3</v>
      </c>
      <c r="K385" s="14">
        <f t="shared" si="33"/>
        <v>2.8089887640449396E-2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35">
      <c r="A386" s="12">
        <v>44432</v>
      </c>
      <c r="B386" s="20">
        <v>11600</v>
      </c>
      <c r="C386" s="20">
        <v>22400</v>
      </c>
      <c r="D386" s="20">
        <v>8700</v>
      </c>
      <c r="E386" s="20">
        <v>26500</v>
      </c>
      <c r="F386" s="20">
        <v>17800</v>
      </c>
      <c r="G386" s="14">
        <f t="shared" si="29"/>
        <v>-8.5470085470085166E-3</v>
      </c>
      <c r="H386" s="14">
        <f t="shared" si="30"/>
        <v>1.8181818181818077E-2</v>
      </c>
      <c r="I386" s="14">
        <f t="shared" si="31"/>
        <v>-2.2471910112359605E-2</v>
      </c>
      <c r="J386" s="14">
        <f t="shared" si="32"/>
        <v>-7.4906367041198685E-3</v>
      </c>
      <c r="K386" s="14">
        <f t="shared" si="33"/>
        <v>-4.8128342245989275E-2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5">
      <c r="A387" s="12">
        <v>44431</v>
      </c>
      <c r="B387" s="20">
        <v>11700</v>
      </c>
      <c r="C387" s="20">
        <v>22000</v>
      </c>
      <c r="D387" s="20">
        <v>8900</v>
      </c>
      <c r="E387" s="20">
        <v>26700</v>
      </c>
      <c r="F387" s="20">
        <v>18700</v>
      </c>
      <c r="G387" s="14">
        <f t="shared" si="29"/>
        <v>-8.4745762711864181E-3</v>
      </c>
      <c r="H387" s="14">
        <f t="shared" si="30"/>
        <v>0</v>
      </c>
      <c r="I387" s="14">
        <f t="shared" si="31"/>
        <v>0</v>
      </c>
      <c r="J387" s="14">
        <f t="shared" si="32"/>
        <v>-1.8382352941176516E-2</v>
      </c>
      <c r="K387" s="14">
        <f t="shared" si="33"/>
        <v>6.8571428571428505E-2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5">
      <c r="A388" s="12">
        <v>44428</v>
      </c>
      <c r="B388" s="20">
        <v>11800</v>
      </c>
      <c r="C388" s="20">
        <v>22000</v>
      </c>
      <c r="D388" s="20">
        <v>8900</v>
      </c>
      <c r="E388" s="20">
        <v>27200</v>
      </c>
      <c r="F388" s="20">
        <v>17500</v>
      </c>
      <c r="G388" s="14">
        <f t="shared" si="29"/>
        <v>2.6086956521739202E-2</v>
      </c>
      <c r="H388" s="14">
        <f t="shared" si="30"/>
        <v>1.3824884792626779E-2</v>
      </c>
      <c r="I388" s="14">
        <f t="shared" si="31"/>
        <v>1.1363636363636465E-2</v>
      </c>
      <c r="J388" s="14">
        <f t="shared" si="32"/>
        <v>-7.2992700729926918E-3</v>
      </c>
      <c r="K388" s="14">
        <f t="shared" si="33"/>
        <v>6.7073170731707377E-2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5">
      <c r="A389" s="12">
        <v>44427</v>
      </c>
      <c r="B389" s="20">
        <v>11500</v>
      </c>
      <c r="C389" s="20">
        <v>21700</v>
      </c>
      <c r="D389" s="20">
        <v>8800</v>
      </c>
      <c r="E389" s="20">
        <v>27400</v>
      </c>
      <c r="F389" s="20">
        <v>16400</v>
      </c>
      <c r="G389" s="14">
        <f t="shared" ref="G389:G452" si="34">B389/B390-1</f>
        <v>-1.7094017094017144E-2</v>
      </c>
      <c r="H389" s="14">
        <f t="shared" ref="H389:H452" si="35">C389/C390-1</f>
        <v>2.6004728132387633E-2</v>
      </c>
      <c r="I389" s="14">
        <f t="shared" ref="I389:I452" si="36">D389/D390-1</f>
        <v>0</v>
      </c>
      <c r="J389" s="14">
        <f t="shared" ref="J389:J452" si="37">E389/E390-1</f>
        <v>-7.2463768115942351E-3</v>
      </c>
      <c r="K389" s="14">
        <f t="shared" ref="K389:K452" si="38">F389/F390-1</f>
        <v>6.1349693251533388E-3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5">
      <c r="A390" s="12">
        <v>44426</v>
      </c>
      <c r="B390" s="20">
        <v>11700</v>
      </c>
      <c r="C390" s="20">
        <v>21150</v>
      </c>
      <c r="D390" s="20">
        <v>8800</v>
      </c>
      <c r="E390" s="20">
        <v>27600</v>
      </c>
      <c r="F390" s="20">
        <v>16300</v>
      </c>
      <c r="G390" s="14">
        <f t="shared" si="34"/>
        <v>-9.3023255813953543E-2</v>
      </c>
      <c r="H390" s="14">
        <f t="shared" si="35"/>
        <v>-6.8281938325991165E-2</v>
      </c>
      <c r="I390" s="14">
        <f t="shared" si="36"/>
        <v>-1.1235955056179803E-2</v>
      </c>
      <c r="J390" s="14">
        <f t="shared" si="37"/>
        <v>-1.6042780748663055E-2</v>
      </c>
      <c r="K390" s="14">
        <f t="shared" si="38"/>
        <v>-5.2325581395348819E-2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5">
      <c r="A391" s="12">
        <v>44425</v>
      </c>
      <c r="B391" s="20">
        <v>12900</v>
      </c>
      <c r="C391" s="20">
        <v>22700</v>
      </c>
      <c r="D391" s="20">
        <v>8900</v>
      </c>
      <c r="E391" s="20">
        <v>28050</v>
      </c>
      <c r="F391" s="20">
        <v>17200</v>
      </c>
      <c r="G391" s="14">
        <f t="shared" si="34"/>
        <v>5.7377049180327822E-2</v>
      </c>
      <c r="H391" s="14">
        <f t="shared" si="35"/>
        <v>3.6529680365296802E-2</v>
      </c>
      <c r="I391" s="14">
        <f t="shared" si="36"/>
        <v>0</v>
      </c>
      <c r="J391" s="14">
        <f t="shared" si="37"/>
        <v>-5.3191489361702482E-3</v>
      </c>
      <c r="K391" s="14">
        <f t="shared" si="38"/>
        <v>4.5592705167173175E-2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5">
      <c r="A392" s="12">
        <v>44424</v>
      </c>
      <c r="B392" s="20">
        <v>12200</v>
      </c>
      <c r="C392" s="20">
        <v>21900</v>
      </c>
      <c r="D392" s="20">
        <v>8900</v>
      </c>
      <c r="E392" s="20">
        <v>28200</v>
      </c>
      <c r="F392" s="20">
        <v>16450</v>
      </c>
      <c r="G392" s="14">
        <f t="shared" si="34"/>
        <v>2.5210084033613356E-2</v>
      </c>
      <c r="H392" s="14">
        <f t="shared" si="35"/>
        <v>3.3018867924528239E-2</v>
      </c>
      <c r="I392" s="14">
        <f t="shared" si="36"/>
        <v>-1.1111111111111072E-2</v>
      </c>
      <c r="J392" s="14">
        <f t="shared" si="37"/>
        <v>1.0752688172043001E-2</v>
      </c>
      <c r="K392" s="14">
        <f t="shared" si="38"/>
        <v>1.5432098765432167E-2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35">
      <c r="A393" s="12">
        <v>44421</v>
      </c>
      <c r="B393" s="20">
        <v>11900</v>
      </c>
      <c r="C393" s="20">
        <v>21200</v>
      </c>
      <c r="D393" s="20">
        <v>9000</v>
      </c>
      <c r="E393" s="20">
        <v>27900</v>
      </c>
      <c r="F393" s="20">
        <v>16200</v>
      </c>
      <c r="G393" s="14">
        <f t="shared" si="34"/>
        <v>8.4745762711864181E-3</v>
      </c>
      <c r="H393" s="14">
        <f t="shared" si="35"/>
        <v>-4.6948356807511304E-3</v>
      </c>
      <c r="I393" s="14">
        <f t="shared" si="36"/>
        <v>0</v>
      </c>
      <c r="J393" s="14">
        <f t="shared" si="37"/>
        <v>-3.125E-2</v>
      </c>
      <c r="K393" s="14">
        <f t="shared" si="38"/>
        <v>-9.1743119266054496E-3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35">
      <c r="A394" s="12">
        <v>44420</v>
      </c>
      <c r="B394" s="20">
        <v>11800</v>
      </c>
      <c r="C394" s="20">
        <v>21300</v>
      </c>
      <c r="D394" s="20">
        <v>9000</v>
      </c>
      <c r="E394" s="20">
        <v>28800</v>
      </c>
      <c r="F394" s="20">
        <v>16350</v>
      </c>
      <c r="G394" s="14">
        <f t="shared" si="34"/>
        <v>-3.2786885245901676E-2</v>
      </c>
      <c r="H394" s="14">
        <f t="shared" si="35"/>
        <v>4.9261083743842304E-2</v>
      </c>
      <c r="I394" s="14">
        <f t="shared" si="36"/>
        <v>1.1235955056179803E-2</v>
      </c>
      <c r="J394" s="14">
        <f t="shared" si="37"/>
        <v>-6.8965517241379448E-3</v>
      </c>
      <c r="K394" s="14">
        <f t="shared" si="38"/>
        <v>2.8301886792452935E-2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5">
      <c r="A395" s="12">
        <v>44419</v>
      </c>
      <c r="B395" s="20">
        <v>12200</v>
      </c>
      <c r="C395" s="20">
        <v>20300</v>
      </c>
      <c r="D395" s="20">
        <v>8900</v>
      </c>
      <c r="E395" s="20">
        <v>29000</v>
      </c>
      <c r="F395" s="20">
        <v>15900</v>
      </c>
      <c r="G395" s="14">
        <f t="shared" si="34"/>
        <v>-8.1300813008130524E-3</v>
      </c>
      <c r="H395" s="14">
        <f t="shared" si="35"/>
        <v>1.7543859649122862E-2</v>
      </c>
      <c r="I395" s="14">
        <f t="shared" si="36"/>
        <v>-1.1111111111111072E-2</v>
      </c>
      <c r="J395" s="14">
        <f t="shared" si="37"/>
        <v>-1.6949152542372836E-2</v>
      </c>
      <c r="K395" s="14">
        <f t="shared" si="38"/>
        <v>-6.2499999999999778E-3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5">
      <c r="A396" s="12">
        <v>44418</v>
      </c>
      <c r="B396" s="20">
        <v>12300</v>
      </c>
      <c r="C396" s="20">
        <v>19950</v>
      </c>
      <c r="D396" s="20">
        <v>9000</v>
      </c>
      <c r="E396" s="20">
        <v>29500</v>
      </c>
      <c r="F396" s="20">
        <v>16000</v>
      </c>
      <c r="G396" s="14">
        <f t="shared" si="34"/>
        <v>8.1967213114753079E-3</v>
      </c>
      <c r="H396" s="14">
        <f t="shared" si="35"/>
        <v>0</v>
      </c>
      <c r="I396" s="14">
        <f t="shared" si="36"/>
        <v>1.1235955056179803E-2</v>
      </c>
      <c r="J396" s="14">
        <f t="shared" si="37"/>
        <v>4.2402826855123754E-2</v>
      </c>
      <c r="K396" s="14">
        <f t="shared" si="38"/>
        <v>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5">
      <c r="A397" s="12">
        <v>44417</v>
      </c>
      <c r="B397" s="20">
        <v>12200</v>
      </c>
      <c r="C397" s="20">
        <v>19950</v>
      </c>
      <c r="D397" s="20">
        <v>8900</v>
      </c>
      <c r="E397" s="20">
        <v>28300</v>
      </c>
      <c r="F397" s="20">
        <v>16000</v>
      </c>
      <c r="G397" s="14">
        <f t="shared" si="34"/>
        <v>-8.1300813008130524E-3</v>
      </c>
      <c r="H397" s="14">
        <f t="shared" si="35"/>
        <v>-2.6829268292682951E-2</v>
      </c>
      <c r="I397" s="14">
        <f t="shared" si="36"/>
        <v>0</v>
      </c>
      <c r="J397" s="14">
        <f t="shared" si="37"/>
        <v>-7.0175438596491446E-3</v>
      </c>
      <c r="K397" s="14">
        <f t="shared" si="38"/>
        <v>-6.2111801242236142E-3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5">
      <c r="A398" s="12">
        <v>44414</v>
      </c>
      <c r="B398" s="20">
        <v>12300</v>
      </c>
      <c r="C398" s="20">
        <v>20500</v>
      </c>
      <c r="D398" s="20">
        <v>8900</v>
      </c>
      <c r="E398" s="20">
        <v>28500</v>
      </c>
      <c r="F398" s="20">
        <v>16100</v>
      </c>
      <c r="G398" s="14">
        <f t="shared" si="34"/>
        <v>3.3613445378151363E-2</v>
      </c>
      <c r="H398" s="14">
        <f t="shared" si="35"/>
        <v>-4.8543689320388328E-3</v>
      </c>
      <c r="I398" s="14">
        <f t="shared" si="36"/>
        <v>1.1363636363636465E-2</v>
      </c>
      <c r="J398" s="14">
        <f t="shared" si="37"/>
        <v>-5.2356020942407877E-3</v>
      </c>
      <c r="K398" s="14">
        <f t="shared" si="38"/>
        <v>-3.0959752321981782E-3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5">
      <c r="A399" s="12">
        <v>44413</v>
      </c>
      <c r="B399" s="20">
        <v>11900</v>
      </c>
      <c r="C399" s="20">
        <v>20600</v>
      </c>
      <c r="D399" s="20">
        <v>8800</v>
      </c>
      <c r="E399" s="20">
        <v>28650</v>
      </c>
      <c r="F399" s="20">
        <v>16150</v>
      </c>
      <c r="G399" s="14">
        <f t="shared" si="34"/>
        <v>8.4745762711864181E-3</v>
      </c>
      <c r="H399" s="14">
        <f t="shared" si="35"/>
        <v>3.0000000000000027E-2</v>
      </c>
      <c r="I399" s="14">
        <f t="shared" si="36"/>
        <v>-1.1235955056179803E-2</v>
      </c>
      <c r="J399" s="14">
        <f t="shared" si="37"/>
        <v>8.8028169014084945E-3</v>
      </c>
      <c r="K399" s="14">
        <f t="shared" si="38"/>
        <v>-1.2232415902140636E-2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35">
      <c r="A400" s="12">
        <v>44412</v>
      </c>
      <c r="B400" s="20">
        <v>11800</v>
      </c>
      <c r="C400" s="20">
        <v>20000</v>
      </c>
      <c r="D400" s="20">
        <v>8900</v>
      </c>
      <c r="E400" s="20">
        <v>28400</v>
      </c>
      <c r="F400" s="20">
        <v>16350</v>
      </c>
      <c r="G400" s="14">
        <f t="shared" si="34"/>
        <v>4.4247787610619538E-2</v>
      </c>
      <c r="H400" s="14">
        <f t="shared" si="35"/>
        <v>6.9518716577540163E-2</v>
      </c>
      <c r="I400" s="14">
        <f t="shared" si="36"/>
        <v>-1.1111111111111072E-2</v>
      </c>
      <c r="J400" s="14">
        <f t="shared" si="37"/>
        <v>7.0921985815601829E-3</v>
      </c>
      <c r="K400" s="14">
        <f t="shared" si="38"/>
        <v>-1.8018018018018056E-2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35">
      <c r="A401" s="12">
        <v>44411</v>
      </c>
      <c r="B401" s="20">
        <v>11300</v>
      </c>
      <c r="C401" s="20">
        <v>18700</v>
      </c>
      <c r="D401" s="20">
        <v>9000</v>
      </c>
      <c r="E401" s="20">
        <v>28200</v>
      </c>
      <c r="F401" s="20">
        <v>16650</v>
      </c>
      <c r="G401" s="14">
        <f t="shared" si="34"/>
        <v>9.7087378640776656E-2</v>
      </c>
      <c r="H401" s="14">
        <f t="shared" si="35"/>
        <v>6.8571428571428505E-2</v>
      </c>
      <c r="I401" s="14">
        <f t="shared" si="36"/>
        <v>4.6511627906976827E-2</v>
      </c>
      <c r="J401" s="14">
        <f t="shared" si="37"/>
        <v>7.1428571428571175E-3</v>
      </c>
      <c r="K401" s="14">
        <f t="shared" si="38"/>
        <v>3.7383177570093462E-2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5">
      <c r="A402" s="12">
        <v>44410</v>
      </c>
      <c r="B402" s="20">
        <v>10300</v>
      </c>
      <c r="C402" s="20">
        <v>17500</v>
      </c>
      <c r="D402" s="20">
        <v>8600</v>
      </c>
      <c r="E402" s="20">
        <v>28000</v>
      </c>
      <c r="F402" s="20">
        <v>16050</v>
      </c>
      <c r="G402" s="14">
        <f t="shared" si="34"/>
        <v>9.5744680851063801E-2</v>
      </c>
      <c r="H402" s="14">
        <f t="shared" si="35"/>
        <v>6.7073170731707377E-2</v>
      </c>
      <c r="I402" s="14">
        <f t="shared" si="36"/>
        <v>6.1728395061728447E-2</v>
      </c>
      <c r="J402" s="14">
        <f t="shared" si="37"/>
        <v>5.6603773584905648E-2</v>
      </c>
      <c r="K402" s="14">
        <f t="shared" si="38"/>
        <v>4.9019607843137303E-2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5">
      <c r="A403" s="12">
        <v>44407</v>
      </c>
      <c r="B403" s="20">
        <v>9400</v>
      </c>
      <c r="C403" s="20">
        <v>16400</v>
      </c>
      <c r="D403" s="20">
        <v>8100</v>
      </c>
      <c r="E403" s="20">
        <v>26500</v>
      </c>
      <c r="F403" s="20">
        <v>15300</v>
      </c>
      <c r="G403" s="14">
        <f t="shared" si="34"/>
        <v>4.4444444444444509E-2</v>
      </c>
      <c r="H403" s="14">
        <f t="shared" si="35"/>
        <v>2.8213166144200663E-2</v>
      </c>
      <c r="I403" s="14">
        <f t="shared" si="36"/>
        <v>2.5316455696202445E-2</v>
      </c>
      <c r="J403" s="14">
        <f t="shared" si="37"/>
        <v>7.6045627376426506E-3</v>
      </c>
      <c r="K403" s="14">
        <f t="shared" si="38"/>
        <v>3.7288135593220417E-2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5">
      <c r="A404" s="12">
        <v>44406</v>
      </c>
      <c r="B404" s="20">
        <v>9000</v>
      </c>
      <c r="C404" s="20">
        <v>15950</v>
      </c>
      <c r="D404" s="20">
        <v>7900</v>
      </c>
      <c r="E404" s="20">
        <v>26300</v>
      </c>
      <c r="F404" s="20">
        <v>14750</v>
      </c>
      <c r="G404" s="14">
        <f t="shared" si="34"/>
        <v>-3.2258064516129004E-2</v>
      </c>
      <c r="H404" s="14">
        <f t="shared" si="35"/>
        <v>-1.5432098765432056E-2</v>
      </c>
      <c r="I404" s="14">
        <f t="shared" si="36"/>
        <v>-4.8192771084337394E-2</v>
      </c>
      <c r="J404" s="14">
        <f t="shared" si="37"/>
        <v>-1.8975332068311701E-3</v>
      </c>
      <c r="K404" s="14">
        <f t="shared" si="38"/>
        <v>-4.220779220779225E-2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5">
      <c r="A405" s="12">
        <v>44405</v>
      </c>
      <c r="B405" s="20">
        <v>9300</v>
      </c>
      <c r="C405" s="20">
        <v>16200</v>
      </c>
      <c r="D405" s="20">
        <v>8300</v>
      </c>
      <c r="E405" s="20">
        <v>26350</v>
      </c>
      <c r="F405" s="20">
        <v>15400</v>
      </c>
      <c r="G405" s="14">
        <f t="shared" si="34"/>
        <v>-8.8235294117647078E-2</v>
      </c>
      <c r="H405" s="14">
        <f t="shared" si="35"/>
        <v>-6.6282420749279591E-2</v>
      </c>
      <c r="I405" s="14">
        <f t="shared" si="36"/>
        <v>-2.352941176470591E-2</v>
      </c>
      <c r="J405" s="14">
        <f t="shared" si="37"/>
        <v>-1.8621973929236479E-2</v>
      </c>
      <c r="K405" s="14">
        <f t="shared" si="38"/>
        <v>-6.0975609756097615E-2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5">
      <c r="A406" s="12">
        <v>44404</v>
      </c>
      <c r="B406" s="20">
        <v>10200</v>
      </c>
      <c r="C406" s="20">
        <v>17350</v>
      </c>
      <c r="D406" s="20">
        <v>8500</v>
      </c>
      <c r="E406" s="20">
        <v>26850</v>
      </c>
      <c r="F406" s="20">
        <v>16400</v>
      </c>
      <c r="G406" s="14">
        <f t="shared" si="34"/>
        <v>0</v>
      </c>
      <c r="H406" s="14">
        <f t="shared" si="35"/>
        <v>-3.0726256983240274E-2</v>
      </c>
      <c r="I406" s="14">
        <f t="shared" si="36"/>
        <v>1.1904761904761862E-2</v>
      </c>
      <c r="J406" s="14">
        <f t="shared" si="37"/>
        <v>-1.2867647058823484E-2</v>
      </c>
      <c r="K406" s="14">
        <f t="shared" si="38"/>
        <v>-1.7964071856287456E-2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5">
      <c r="A407" s="12">
        <v>44403</v>
      </c>
      <c r="B407" s="20">
        <v>10200</v>
      </c>
      <c r="C407" s="20">
        <v>17900</v>
      </c>
      <c r="D407" s="20">
        <v>8400</v>
      </c>
      <c r="E407" s="20">
        <v>27200</v>
      </c>
      <c r="F407" s="20">
        <v>16700</v>
      </c>
      <c r="G407" s="14">
        <f t="shared" si="34"/>
        <v>-3.7735849056603765E-2</v>
      </c>
      <c r="H407" s="14">
        <f t="shared" si="35"/>
        <v>-2.7173913043478271E-2</v>
      </c>
      <c r="I407" s="14">
        <f t="shared" si="36"/>
        <v>-2.3255813953488413E-2</v>
      </c>
      <c r="J407" s="14">
        <f t="shared" si="37"/>
        <v>0</v>
      </c>
      <c r="K407" s="14">
        <f t="shared" si="38"/>
        <v>-1.1834319526627168E-2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5">
      <c r="A408" s="12">
        <v>44400</v>
      </c>
      <c r="B408" s="20">
        <v>10600</v>
      </c>
      <c r="C408" s="20">
        <v>18400</v>
      </c>
      <c r="D408" s="20">
        <v>8600</v>
      </c>
      <c r="E408" s="20">
        <v>27200</v>
      </c>
      <c r="F408" s="20">
        <v>16900</v>
      </c>
      <c r="G408" s="14">
        <f t="shared" si="34"/>
        <v>3.9215686274509887E-2</v>
      </c>
      <c r="H408" s="14">
        <f t="shared" si="35"/>
        <v>5.1428571428571379E-2</v>
      </c>
      <c r="I408" s="14">
        <f t="shared" si="36"/>
        <v>4.8780487804878092E-2</v>
      </c>
      <c r="J408" s="14">
        <f t="shared" si="37"/>
        <v>2.6415094339622636E-2</v>
      </c>
      <c r="K408" s="14">
        <f t="shared" si="38"/>
        <v>3.0487804878048808E-2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5">
      <c r="A409" s="12">
        <v>44399</v>
      </c>
      <c r="B409" s="20">
        <v>10200</v>
      </c>
      <c r="C409" s="20">
        <v>17500</v>
      </c>
      <c r="D409" s="20">
        <v>8200</v>
      </c>
      <c r="E409" s="20">
        <v>26500</v>
      </c>
      <c r="F409" s="20">
        <v>16400</v>
      </c>
      <c r="G409" s="14">
        <f t="shared" si="34"/>
        <v>9.9009900990099098E-3</v>
      </c>
      <c r="H409" s="14">
        <f t="shared" si="35"/>
        <v>-3.0470914127423865E-2</v>
      </c>
      <c r="I409" s="14">
        <f t="shared" si="36"/>
        <v>-2.3809523809523836E-2</v>
      </c>
      <c r="J409" s="14">
        <f t="shared" si="37"/>
        <v>1.5325670498084198E-2</v>
      </c>
      <c r="K409" s="14">
        <f t="shared" si="38"/>
        <v>2.8213166144200663E-2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5">
      <c r="A410" s="12">
        <v>44398</v>
      </c>
      <c r="B410" s="20">
        <v>10100</v>
      </c>
      <c r="C410" s="20">
        <v>18050</v>
      </c>
      <c r="D410" s="20">
        <v>8400</v>
      </c>
      <c r="E410" s="20">
        <v>26100</v>
      </c>
      <c r="F410" s="20">
        <v>15950</v>
      </c>
      <c r="G410" s="14">
        <f t="shared" si="34"/>
        <v>-9.8214285714285698E-2</v>
      </c>
      <c r="H410" s="14">
        <f t="shared" si="35"/>
        <v>-6.9587628865979356E-2</v>
      </c>
      <c r="I410" s="14">
        <f t="shared" si="36"/>
        <v>-4.5454545454545414E-2</v>
      </c>
      <c r="J410" s="14">
        <f t="shared" si="37"/>
        <v>-1.3232514177693777E-2</v>
      </c>
      <c r="K410" s="14">
        <f t="shared" si="38"/>
        <v>-5.0595238095238138E-2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5">
      <c r="A411" s="12">
        <v>44397</v>
      </c>
      <c r="B411" s="20">
        <v>11200</v>
      </c>
      <c r="C411" s="20">
        <v>19400</v>
      </c>
      <c r="D411" s="20">
        <v>8800</v>
      </c>
      <c r="E411" s="20">
        <v>26450</v>
      </c>
      <c r="F411" s="20">
        <v>16800</v>
      </c>
      <c r="G411" s="14">
        <f t="shared" si="34"/>
        <v>7.6923076923076872E-2</v>
      </c>
      <c r="H411" s="14">
        <f t="shared" si="35"/>
        <v>0</v>
      </c>
      <c r="I411" s="14">
        <f t="shared" si="36"/>
        <v>-1.1235955056179803E-2</v>
      </c>
      <c r="J411" s="14">
        <f t="shared" si="37"/>
        <v>1.3409961685823646E-2</v>
      </c>
      <c r="K411" s="14">
        <f t="shared" si="38"/>
        <v>-8.8495575221239076E-3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5">
      <c r="A412" s="12">
        <v>44396</v>
      </c>
      <c r="B412" s="20">
        <v>10400</v>
      </c>
      <c r="C412" s="20">
        <v>19400</v>
      </c>
      <c r="D412" s="20">
        <v>8900</v>
      </c>
      <c r="E412" s="20">
        <v>26100</v>
      </c>
      <c r="F412" s="20">
        <v>16950</v>
      </c>
      <c r="G412" s="14">
        <f t="shared" si="34"/>
        <v>-1.8867924528301883E-2</v>
      </c>
      <c r="H412" s="14">
        <f t="shared" si="35"/>
        <v>-4.6683046683046681E-2</v>
      </c>
      <c r="I412" s="14">
        <f t="shared" si="36"/>
        <v>0</v>
      </c>
      <c r="J412" s="14">
        <f t="shared" si="37"/>
        <v>-3.8167938931297218E-3</v>
      </c>
      <c r="K412" s="14">
        <f t="shared" si="38"/>
        <v>-1.4534883720930258E-2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5">
      <c r="A413" s="12">
        <v>44393</v>
      </c>
      <c r="B413" s="20">
        <v>10600</v>
      </c>
      <c r="C413" s="20">
        <v>20350</v>
      </c>
      <c r="D413" s="20">
        <v>8900</v>
      </c>
      <c r="E413" s="20">
        <v>26200</v>
      </c>
      <c r="F413" s="20">
        <v>17200</v>
      </c>
      <c r="G413" s="14">
        <f t="shared" si="34"/>
        <v>-4.5045045045045029E-2</v>
      </c>
      <c r="H413" s="14">
        <f t="shared" si="35"/>
        <v>2.2613065326633208E-2</v>
      </c>
      <c r="I413" s="14">
        <f t="shared" si="36"/>
        <v>1.1363636363636465E-2</v>
      </c>
      <c r="J413" s="14">
        <f t="shared" si="37"/>
        <v>-1.9047619047618536E-3</v>
      </c>
      <c r="K413" s="14">
        <f t="shared" si="38"/>
        <v>4.2424242424242475E-2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5">
      <c r="A414" s="12">
        <v>44392</v>
      </c>
      <c r="B414" s="20">
        <v>11100</v>
      </c>
      <c r="C414" s="20">
        <v>19900</v>
      </c>
      <c r="D414" s="20">
        <v>8800</v>
      </c>
      <c r="E414" s="20">
        <v>26250</v>
      </c>
      <c r="F414" s="20">
        <v>16500</v>
      </c>
      <c r="G414" s="14">
        <f t="shared" si="34"/>
        <v>2.7777777777777679E-2</v>
      </c>
      <c r="H414" s="14">
        <f t="shared" si="35"/>
        <v>5.050505050504972E-3</v>
      </c>
      <c r="I414" s="14">
        <f t="shared" si="36"/>
        <v>3.529411764705892E-2</v>
      </c>
      <c r="J414" s="14">
        <f t="shared" si="37"/>
        <v>-1.3157894736842146E-2</v>
      </c>
      <c r="K414" s="14">
        <f t="shared" si="38"/>
        <v>4.4303797468354444E-2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5">
      <c r="A415" s="12">
        <v>44391</v>
      </c>
      <c r="B415" s="20">
        <v>10800</v>
      </c>
      <c r="C415" s="20">
        <v>19800</v>
      </c>
      <c r="D415" s="20">
        <v>8500</v>
      </c>
      <c r="E415" s="20">
        <v>26600</v>
      </c>
      <c r="F415" s="20">
        <v>15800</v>
      </c>
      <c r="G415" s="14">
        <f t="shared" si="34"/>
        <v>-1.8181818181818188E-2</v>
      </c>
      <c r="H415" s="14">
        <f t="shared" si="35"/>
        <v>4.2105263157894646E-2</v>
      </c>
      <c r="I415" s="14">
        <f t="shared" si="36"/>
        <v>-1.1627906976744207E-2</v>
      </c>
      <c r="J415" s="14">
        <f t="shared" si="37"/>
        <v>0</v>
      </c>
      <c r="K415" s="14">
        <f t="shared" si="38"/>
        <v>0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5">
      <c r="A416" s="12">
        <v>44390</v>
      </c>
      <c r="B416" s="20">
        <v>11000</v>
      </c>
      <c r="C416" s="20">
        <v>19000</v>
      </c>
      <c r="D416" s="20">
        <v>8600</v>
      </c>
      <c r="E416" s="20">
        <v>26600</v>
      </c>
      <c r="F416" s="20">
        <v>15800</v>
      </c>
      <c r="G416" s="14">
        <f t="shared" si="34"/>
        <v>1.8518518518518601E-2</v>
      </c>
      <c r="H416" s="14">
        <f t="shared" si="35"/>
        <v>-4.2821158690176331E-2</v>
      </c>
      <c r="I416" s="14">
        <f t="shared" si="36"/>
        <v>0</v>
      </c>
      <c r="J416" s="14">
        <f t="shared" si="37"/>
        <v>3.7735849056603765E-3</v>
      </c>
      <c r="K416" s="14">
        <f t="shared" si="38"/>
        <v>1.2820512820512775E-2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5">
      <c r="A417" s="12">
        <v>44389</v>
      </c>
      <c r="B417" s="20">
        <v>10800</v>
      </c>
      <c r="C417" s="20">
        <v>19850</v>
      </c>
      <c r="D417" s="20">
        <v>8600</v>
      </c>
      <c r="E417" s="20">
        <v>26500</v>
      </c>
      <c r="F417" s="20">
        <v>15600</v>
      </c>
      <c r="G417" s="14">
        <f t="shared" si="34"/>
        <v>-9.9999999999999978E-2</v>
      </c>
      <c r="H417" s="14">
        <f t="shared" si="35"/>
        <v>-6.8075117370892002E-2</v>
      </c>
      <c r="I417" s="14">
        <f t="shared" si="36"/>
        <v>-4.4444444444444398E-2</v>
      </c>
      <c r="J417" s="14">
        <f t="shared" si="37"/>
        <v>-1.8832391713747842E-3</v>
      </c>
      <c r="K417" s="14">
        <f t="shared" si="38"/>
        <v>-6.8656716417910491E-2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5">
      <c r="A418" s="12">
        <v>44386</v>
      </c>
      <c r="B418" s="20">
        <v>12000</v>
      </c>
      <c r="C418" s="20">
        <v>21300</v>
      </c>
      <c r="D418" s="20">
        <v>9000</v>
      </c>
      <c r="E418" s="20">
        <v>26550</v>
      </c>
      <c r="F418" s="20">
        <v>16750</v>
      </c>
      <c r="G418" s="14">
        <f t="shared" si="34"/>
        <v>-6.9767441860465129E-2</v>
      </c>
      <c r="H418" s="14">
        <f t="shared" si="35"/>
        <v>-3.1818181818181857E-2</v>
      </c>
      <c r="I418" s="14">
        <f t="shared" si="36"/>
        <v>-1.098901098901095E-2</v>
      </c>
      <c r="J418" s="14">
        <f t="shared" si="37"/>
        <v>-2.0295202952029467E-2</v>
      </c>
      <c r="K418" s="14">
        <f t="shared" si="38"/>
        <v>-6.944444444444442E-2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5">
      <c r="A419" s="12">
        <v>44385</v>
      </c>
      <c r="B419" s="20">
        <v>12900</v>
      </c>
      <c r="C419" s="20">
        <v>22000</v>
      </c>
      <c r="D419" s="20">
        <v>9100</v>
      </c>
      <c r="E419" s="20">
        <v>27100</v>
      </c>
      <c r="F419" s="20">
        <v>18000</v>
      </c>
      <c r="G419" s="14">
        <f t="shared" si="34"/>
        <v>-5.1470588235294157E-2</v>
      </c>
      <c r="H419" s="14">
        <f t="shared" si="35"/>
        <v>1.3824884792626779E-2</v>
      </c>
      <c r="I419" s="14">
        <f t="shared" si="36"/>
        <v>0</v>
      </c>
      <c r="J419" s="14">
        <f t="shared" si="37"/>
        <v>1.848428835489857E-3</v>
      </c>
      <c r="K419" s="14">
        <f t="shared" si="38"/>
        <v>0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5">
      <c r="A420" s="12">
        <v>44384</v>
      </c>
      <c r="B420" s="20">
        <v>13600</v>
      </c>
      <c r="C420" s="20">
        <v>21700</v>
      </c>
      <c r="D420" s="20">
        <v>9100</v>
      </c>
      <c r="E420" s="20">
        <v>27050</v>
      </c>
      <c r="F420" s="20">
        <v>18000</v>
      </c>
      <c r="G420" s="14">
        <f t="shared" si="34"/>
        <v>-9.9337748344370813E-2</v>
      </c>
      <c r="H420" s="14">
        <f t="shared" si="35"/>
        <v>-6.8669527896995763E-2</v>
      </c>
      <c r="I420" s="14">
        <f t="shared" si="36"/>
        <v>-4.2105263157894757E-2</v>
      </c>
      <c r="J420" s="14">
        <f t="shared" si="37"/>
        <v>-2.6978417266187105E-2</v>
      </c>
      <c r="K420" s="14">
        <f t="shared" si="38"/>
        <v>-6.9767441860465129E-2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5">
      <c r="A421" s="12">
        <v>44383</v>
      </c>
      <c r="B421" s="20">
        <v>15100</v>
      </c>
      <c r="C421" s="20">
        <v>23300</v>
      </c>
      <c r="D421" s="20">
        <v>9500</v>
      </c>
      <c r="E421" s="20">
        <v>27800</v>
      </c>
      <c r="F421" s="20">
        <v>19350</v>
      </c>
      <c r="G421" s="14">
        <f t="shared" si="34"/>
        <v>-6.5789473684210176E-3</v>
      </c>
      <c r="H421" s="14">
        <f t="shared" si="35"/>
        <v>4.3103448275862988E-3</v>
      </c>
      <c r="I421" s="14">
        <f t="shared" si="36"/>
        <v>0</v>
      </c>
      <c r="J421" s="14">
        <f t="shared" si="37"/>
        <v>-1.7953321364452268E-3</v>
      </c>
      <c r="K421" s="14">
        <f t="shared" si="38"/>
        <v>4.0322580645161255E-2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5">
      <c r="A422" s="12">
        <v>44382</v>
      </c>
      <c r="B422" s="20">
        <v>15200</v>
      </c>
      <c r="C422" s="20">
        <v>23200</v>
      </c>
      <c r="D422" s="20">
        <v>9500</v>
      </c>
      <c r="E422" s="20">
        <v>27850</v>
      </c>
      <c r="F422" s="20">
        <v>18600</v>
      </c>
      <c r="G422" s="14">
        <f t="shared" si="34"/>
        <v>-1.2987012987012991E-2</v>
      </c>
      <c r="H422" s="14">
        <f t="shared" si="35"/>
        <v>4.3290043290042934E-3</v>
      </c>
      <c r="I422" s="14">
        <f t="shared" si="36"/>
        <v>1.0638297872340496E-2</v>
      </c>
      <c r="J422" s="14">
        <f t="shared" si="37"/>
        <v>-5.3571428571428381E-3</v>
      </c>
      <c r="K422" s="14">
        <f t="shared" si="38"/>
        <v>2.6954177897573484E-3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35">
      <c r="A423" s="12">
        <v>44379</v>
      </c>
      <c r="B423" s="20">
        <v>15400</v>
      </c>
      <c r="C423" s="20">
        <v>23100</v>
      </c>
      <c r="D423" s="20">
        <v>9400</v>
      </c>
      <c r="E423" s="20">
        <v>28000</v>
      </c>
      <c r="F423" s="20">
        <v>18550</v>
      </c>
      <c r="G423" s="14">
        <f t="shared" si="34"/>
        <v>1.3157894736842035E-2</v>
      </c>
      <c r="H423" s="14">
        <f t="shared" si="35"/>
        <v>2.1691973969630851E-3</v>
      </c>
      <c r="I423" s="14">
        <f t="shared" si="36"/>
        <v>0</v>
      </c>
      <c r="J423" s="14">
        <f t="shared" si="37"/>
        <v>1.7889087656528524E-3</v>
      </c>
      <c r="K423" s="14">
        <f t="shared" si="38"/>
        <v>-1.591511936339518E-2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35">
      <c r="A424" s="12">
        <v>44378</v>
      </c>
      <c r="B424" s="20">
        <v>15200</v>
      </c>
      <c r="C424" s="20">
        <v>23050</v>
      </c>
      <c r="D424" s="20">
        <v>9400</v>
      </c>
      <c r="E424" s="20">
        <v>27950</v>
      </c>
      <c r="F424" s="20">
        <v>18850</v>
      </c>
      <c r="G424" s="14">
        <f t="shared" si="34"/>
        <v>1.3333333333333419E-2</v>
      </c>
      <c r="H424" s="14">
        <f t="shared" si="35"/>
        <v>2.1739130434783593E-3</v>
      </c>
      <c r="I424" s="14">
        <f t="shared" si="36"/>
        <v>1.0752688172043001E-2</v>
      </c>
      <c r="J424" s="14">
        <f t="shared" si="37"/>
        <v>9.0252707581226499E-3</v>
      </c>
      <c r="K424" s="14">
        <f t="shared" si="38"/>
        <v>2.4456521739130377E-2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5">
      <c r="A425" s="12">
        <v>44377</v>
      </c>
      <c r="B425" s="20">
        <v>15000</v>
      </c>
      <c r="C425" s="20">
        <v>23000</v>
      </c>
      <c r="D425" s="20">
        <v>9300</v>
      </c>
      <c r="E425" s="20">
        <v>27700</v>
      </c>
      <c r="F425" s="20">
        <v>18400</v>
      </c>
      <c r="G425" s="14">
        <f t="shared" si="34"/>
        <v>6.7114093959732557E-3</v>
      </c>
      <c r="H425" s="14">
        <f t="shared" si="35"/>
        <v>-4.3290043290042934E-3</v>
      </c>
      <c r="I425" s="14">
        <f t="shared" si="36"/>
        <v>-1.0638297872340385E-2</v>
      </c>
      <c r="J425" s="14">
        <f t="shared" si="37"/>
        <v>9.1074681238616506E-3</v>
      </c>
      <c r="K425" s="14">
        <f t="shared" si="38"/>
        <v>2.7247956403269047E-3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35">
      <c r="A426" s="12">
        <v>44376</v>
      </c>
      <c r="B426" s="20">
        <v>14900</v>
      </c>
      <c r="C426" s="20">
        <v>23100</v>
      </c>
      <c r="D426" s="20">
        <v>9400</v>
      </c>
      <c r="E426" s="20">
        <v>27450</v>
      </c>
      <c r="F426" s="20">
        <v>18350</v>
      </c>
      <c r="G426" s="14">
        <f t="shared" si="34"/>
        <v>-3.2467532467532423E-2</v>
      </c>
      <c r="H426" s="14">
        <f t="shared" si="35"/>
        <v>-2.5316455696202556E-2</v>
      </c>
      <c r="I426" s="14">
        <f t="shared" si="36"/>
        <v>-1.0526315789473717E-2</v>
      </c>
      <c r="J426" s="14">
        <f t="shared" si="37"/>
        <v>-3.1746031746031744E-2</v>
      </c>
      <c r="K426" s="14">
        <f t="shared" si="38"/>
        <v>-5.4123711340206215E-2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35">
      <c r="A427" s="12">
        <v>44375</v>
      </c>
      <c r="B427" s="20">
        <v>15400</v>
      </c>
      <c r="C427" s="20">
        <v>23700</v>
      </c>
      <c r="D427" s="20">
        <v>9500</v>
      </c>
      <c r="E427" s="20">
        <v>28350</v>
      </c>
      <c r="F427" s="20">
        <v>19400</v>
      </c>
      <c r="G427" s="14">
        <f t="shared" si="34"/>
        <v>0</v>
      </c>
      <c r="H427" s="14">
        <f t="shared" si="35"/>
        <v>-4.2016806722688926E-3</v>
      </c>
      <c r="I427" s="14">
        <f t="shared" si="36"/>
        <v>0</v>
      </c>
      <c r="J427" s="14">
        <f t="shared" si="37"/>
        <v>-7.0052539404553693E-3</v>
      </c>
      <c r="K427" s="14">
        <f t="shared" si="38"/>
        <v>1.3054830287206221E-2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35">
      <c r="A428" s="12">
        <v>44372</v>
      </c>
      <c r="B428" s="20">
        <v>15400</v>
      </c>
      <c r="C428" s="20">
        <v>23800</v>
      </c>
      <c r="D428" s="20">
        <v>9500</v>
      </c>
      <c r="E428" s="20">
        <v>28550</v>
      </c>
      <c r="F428" s="20">
        <v>19150</v>
      </c>
      <c r="G428" s="14">
        <f t="shared" si="34"/>
        <v>-1.9108280254777066E-2</v>
      </c>
      <c r="H428" s="14">
        <f t="shared" si="35"/>
        <v>-1.6528925619834656E-2</v>
      </c>
      <c r="I428" s="14">
        <f t="shared" si="36"/>
        <v>-1.041666666666663E-2</v>
      </c>
      <c r="J428" s="14">
        <f t="shared" si="37"/>
        <v>-6.9565217391304168E-3</v>
      </c>
      <c r="K428" s="14">
        <f t="shared" si="38"/>
        <v>-2.6041666666666297E-3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35">
      <c r="A429" s="12">
        <v>44371</v>
      </c>
      <c r="B429" s="20">
        <v>15700</v>
      </c>
      <c r="C429" s="20">
        <v>24200</v>
      </c>
      <c r="D429" s="20">
        <v>9600</v>
      </c>
      <c r="E429" s="20">
        <v>28750</v>
      </c>
      <c r="F429" s="20">
        <v>19200</v>
      </c>
      <c r="G429" s="14">
        <f t="shared" si="34"/>
        <v>1.9480519480519431E-2</v>
      </c>
      <c r="H429" s="14">
        <f t="shared" si="35"/>
        <v>4.1493775933609811E-3</v>
      </c>
      <c r="I429" s="14">
        <f t="shared" si="36"/>
        <v>-1.0309278350515427E-2</v>
      </c>
      <c r="J429" s="14">
        <f t="shared" si="37"/>
        <v>1.7421602787457413E-3</v>
      </c>
      <c r="K429" s="14">
        <f t="shared" si="38"/>
        <v>1.5873015873015817E-2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35">
      <c r="A430" s="12">
        <v>44370</v>
      </c>
      <c r="B430" s="20">
        <v>15400</v>
      </c>
      <c r="C430" s="20">
        <v>24100</v>
      </c>
      <c r="D430" s="20">
        <v>9700</v>
      </c>
      <c r="E430" s="20">
        <v>28700</v>
      </c>
      <c r="F430" s="20">
        <v>18900</v>
      </c>
      <c r="G430" s="14">
        <f t="shared" si="34"/>
        <v>-6.0975609756097615E-2</v>
      </c>
      <c r="H430" s="14">
        <f t="shared" si="35"/>
        <v>-2.8225806451612878E-2</v>
      </c>
      <c r="I430" s="14">
        <f t="shared" si="36"/>
        <v>-2.0202020202020221E-2</v>
      </c>
      <c r="J430" s="14">
        <f t="shared" si="37"/>
        <v>-3.4722222222222099E-3</v>
      </c>
      <c r="K430" s="14">
        <f t="shared" si="38"/>
        <v>-6.8965517241379337E-2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35">
      <c r="A431" s="12">
        <v>44369</v>
      </c>
      <c r="B431" s="20">
        <v>16400</v>
      </c>
      <c r="C431" s="20">
        <v>24800</v>
      </c>
      <c r="D431" s="20">
        <v>9900</v>
      </c>
      <c r="E431" s="20">
        <v>28800</v>
      </c>
      <c r="F431" s="20">
        <v>20300</v>
      </c>
      <c r="G431" s="14">
        <f t="shared" si="34"/>
        <v>0</v>
      </c>
      <c r="H431" s="14">
        <f t="shared" si="35"/>
        <v>-1.195219123505975E-2</v>
      </c>
      <c r="I431" s="14">
        <f t="shared" si="36"/>
        <v>0</v>
      </c>
      <c r="J431" s="14">
        <f t="shared" si="37"/>
        <v>0</v>
      </c>
      <c r="K431" s="14">
        <f t="shared" si="38"/>
        <v>-9.7560975609756184E-3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35">
      <c r="A432" s="12">
        <v>44368</v>
      </c>
      <c r="B432" s="20">
        <v>16400</v>
      </c>
      <c r="C432" s="20">
        <v>25100</v>
      </c>
      <c r="D432" s="20">
        <v>9900</v>
      </c>
      <c r="E432" s="20">
        <v>28800</v>
      </c>
      <c r="F432" s="20">
        <v>20500</v>
      </c>
      <c r="G432" s="14">
        <f t="shared" si="34"/>
        <v>0</v>
      </c>
      <c r="H432" s="14">
        <f t="shared" si="35"/>
        <v>1.2096774193548487E-2</v>
      </c>
      <c r="I432" s="14">
        <f t="shared" si="36"/>
        <v>0</v>
      </c>
      <c r="J432" s="14">
        <f t="shared" si="37"/>
        <v>-3.4602076124568004E-3</v>
      </c>
      <c r="K432" s="14">
        <f t="shared" si="38"/>
        <v>2.7568922305764465E-2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35">
      <c r="A433" s="12">
        <v>44365</v>
      </c>
      <c r="B433" s="20">
        <v>16400</v>
      </c>
      <c r="C433" s="20">
        <v>24800</v>
      </c>
      <c r="D433" s="20">
        <v>9900</v>
      </c>
      <c r="E433" s="20">
        <v>28900</v>
      </c>
      <c r="F433" s="20">
        <v>19950</v>
      </c>
      <c r="G433" s="14">
        <f t="shared" si="34"/>
        <v>1.2345679012345734E-2</v>
      </c>
      <c r="H433" s="14">
        <f t="shared" si="35"/>
        <v>4.0485829959513442E-3</v>
      </c>
      <c r="I433" s="14">
        <f t="shared" si="36"/>
        <v>-1.0000000000000009E-2</v>
      </c>
      <c r="J433" s="14">
        <f t="shared" si="37"/>
        <v>1.7331022530329143E-3</v>
      </c>
      <c r="K433" s="14">
        <f t="shared" si="38"/>
        <v>-7.4626865671642006E-3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35">
      <c r="A434" s="12">
        <v>44364</v>
      </c>
      <c r="B434" s="20">
        <v>16200</v>
      </c>
      <c r="C434" s="20">
        <v>24700</v>
      </c>
      <c r="D434" s="20">
        <v>10000</v>
      </c>
      <c r="E434" s="20">
        <v>28850</v>
      </c>
      <c r="F434" s="20">
        <v>20100</v>
      </c>
      <c r="G434" s="14">
        <f t="shared" si="34"/>
        <v>-6.1349693251533388E-3</v>
      </c>
      <c r="H434" s="14">
        <f t="shared" si="35"/>
        <v>-1.2000000000000011E-2</v>
      </c>
      <c r="I434" s="14">
        <f t="shared" si="36"/>
        <v>-9.9009900990099098E-3</v>
      </c>
      <c r="J434" s="14">
        <f t="shared" si="37"/>
        <v>-5.1724137931034031E-3</v>
      </c>
      <c r="K434" s="14">
        <f t="shared" si="38"/>
        <v>0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35">
      <c r="A435" s="12">
        <v>44363</v>
      </c>
      <c r="B435" s="20">
        <v>16300</v>
      </c>
      <c r="C435" s="20">
        <v>25000</v>
      </c>
      <c r="D435" s="20">
        <v>10100</v>
      </c>
      <c r="E435" s="20">
        <v>29000</v>
      </c>
      <c r="F435" s="20">
        <v>20100</v>
      </c>
      <c r="G435" s="14">
        <f t="shared" si="34"/>
        <v>0</v>
      </c>
      <c r="H435" s="14">
        <f t="shared" si="35"/>
        <v>-7.9365079365079083E-3</v>
      </c>
      <c r="I435" s="14">
        <f t="shared" si="36"/>
        <v>-9.8039215686274161E-3</v>
      </c>
      <c r="J435" s="14">
        <f t="shared" si="37"/>
        <v>5.199306759098743E-3</v>
      </c>
      <c r="K435" s="14">
        <f t="shared" si="38"/>
        <v>-6.944444444444442E-2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35">
      <c r="A436" s="12">
        <v>44362</v>
      </c>
      <c r="B436" s="20">
        <v>16300</v>
      </c>
      <c r="C436" s="20">
        <v>25200</v>
      </c>
      <c r="D436" s="20">
        <v>10200</v>
      </c>
      <c r="E436" s="20">
        <v>28850</v>
      </c>
      <c r="F436" s="20">
        <v>21600</v>
      </c>
      <c r="G436" s="14">
        <f t="shared" si="34"/>
        <v>-6.0975609756097615E-3</v>
      </c>
      <c r="H436" s="14">
        <f t="shared" si="35"/>
        <v>-3.9525691699604515E-3</v>
      </c>
      <c r="I436" s="14">
        <f t="shared" si="36"/>
        <v>-9.7087378640776656E-3</v>
      </c>
      <c r="J436" s="14">
        <f t="shared" si="37"/>
        <v>-3.4542314335060942E-3</v>
      </c>
      <c r="K436" s="14">
        <f t="shared" si="38"/>
        <v>-1.1441647597253968E-2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35">
      <c r="A437" s="12">
        <v>44361</v>
      </c>
      <c r="B437" s="20">
        <v>16400</v>
      </c>
      <c r="C437" s="20">
        <v>25300</v>
      </c>
      <c r="D437" s="20">
        <v>10300</v>
      </c>
      <c r="E437" s="20">
        <v>28950</v>
      </c>
      <c r="F437" s="20">
        <v>21850</v>
      </c>
      <c r="G437" s="14">
        <f t="shared" si="34"/>
        <v>-6.0606060606060996E-3</v>
      </c>
      <c r="H437" s="14">
        <f t="shared" si="35"/>
        <v>2.2222222222222143E-2</v>
      </c>
      <c r="I437" s="14">
        <f t="shared" si="36"/>
        <v>0</v>
      </c>
      <c r="J437" s="14">
        <f t="shared" si="37"/>
        <v>-3.4423407917383297E-3</v>
      </c>
      <c r="K437" s="14">
        <f t="shared" si="38"/>
        <v>6.8459657701711585E-2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35">
      <c r="A438" s="12">
        <v>44358</v>
      </c>
      <c r="B438" s="20">
        <v>16500</v>
      </c>
      <c r="C438" s="20">
        <v>24750</v>
      </c>
      <c r="D438" s="20">
        <v>10300</v>
      </c>
      <c r="E438" s="20">
        <v>29050</v>
      </c>
      <c r="F438" s="20">
        <v>20450</v>
      </c>
      <c r="G438" s="14">
        <f t="shared" si="34"/>
        <v>1.8518518518518601E-2</v>
      </c>
      <c r="H438" s="14">
        <f t="shared" si="35"/>
        <v>2.0242914979757831E-3</v>
      </c>
      <c r="I438" s="14">
        <f t="shared" si="36"/>
        <v>0</v>
      </c>
      <c r="J438" s="14">
        <f t="shared" si="37"/>
        <v>-8.5324232081911422E-3</v>
      </c>
      <c r="K438" s="14">
        <f t="shared" si="38"/>
        <v>6.788511749347248E-2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35">
      <c r="A439" s="12">
        <v>44357</v>
      </c>
      <c r="B439" s="20">
        <v>16200</v>
      </c>
      <c r="C439" s="20">
        <v>24700</v>
      </c>
      <c r="D439" s="20">
        <v>10300</v>
      </c>
      <c r="E439" s="20">
        <v>29300</v>
      </c>
      <c r="F439" s="20">
        <v>19150</v>
      </c>
      <c r="G439" s="14">
        <f t="shared" si="34"/>
        <v>6.2111801242235032E-3</v>
      </c>
      <c r="H439" s="14">
        <f t="shared" si="35"/>
        <v>-2.0202020202020332E-3</v>
      </c>
      <c r="I439" s="14">
        <f t="shared" si="36"/>
        <v>9.8039215686274161E-3</v>
      </c>
      <c r="J439" s="14">
        <f t="shared" si="37"/>
        <v>-8.4602368866327771E-3</v>
      </c>
      <c r="K439" s="14">
        <f t="shared" si="38"/>
        <v>3.2345013477088846E-2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35">
      <c r="A440" s="12">
        <v>44356</v>
      </c>
      <c r="B440" s="20">
        <v>16100</v>
      </c>
      <c r="C440" s="20">
        <v>24750</v>
      </c>
      <c r="D440" s="20">
        <v>10200</v>
      </c>
      <c r="E440" s="20">
        <v>29550</v>
      </c>
      <c r="F440" s="20">
        <v>18550</v>
      </c>
      <c r="G440" s="14">
        <f t="shared" si="34"/>
        <v>-1.8292682926829285E-2</v>
      </c>
      <c r="H440" s="14">
        <f t="shared" si="35"/>
        <v>-6.0240963855421326E-3</v>
      </c>
      <c r="I440" s="14">
        <f t="shared" si="36"/>
        <v>-9.7087378640776656E-3</v>
      </c>
      <c r="J440" s="14">
        <f t="shared" si="37"/>
        <v>3.3955857385399302E-3</v>
      </c>
      <c r="K440" s="14">
        <f t="shared" si="38"/>
        <v>8.152173913043459E-3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5">
      <c r="A441" s="12">
        <v>44355</v>
      </c>
      <c r="B441" s="20">
        <v>16400</v>
      </c>
      <c r="C441" s="20">
        <v>24900</v>
      </c>
      <c r="D441" s="20">
        <v>10300</v>
      </c>
      <c r="E441" s="20">
        <v>29450</v>
      </c>
      <c r="F441" s="20">
        <v>18400</v>
      </c>
      <c r="G441" s="14">
        <f t="shared" si="34"/>
        <v>-2.9585798816568087E-2</v>
      </c>
      <c r="H441" s="14">
        <f t="shared" si="35"/>
        <v>-2.0040080160320661E-3</v>
      </c>
      <c r="I441" s="14">
        <f t="shared" si="36"/>
        <v>0</v>
      </c>
      <c r="J441" s="14">
        <f t="shared" si="37"/>
        <v>-6.7453625632377667E-3</v>
      </c>
      <c r="K441" s="14">
        <f t="shared" si="38"/>
        <v>2.2222222222222143E-2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5">
      <c r="A442" s="12">
        <v>44354</v>
      </c>
      <c r="B442" s="20">
        <v>16900</v>
      </c>
      <c r="C442" s="20">
        <v>24950</v>
      </c>
      <c r="D442" s="20">
        <v>10300</v>
      </c>
      <c r="E442" s="20">
        <v>29650</v>
      </c>
      <c r="F442" s="20">
        <v>18000</v>
      </c>
      <c r="G442" s="14">
        <f t="shared" si="34"/>
        <v>4.9689440993788914E-2</v>
      </c>
      <c r="H442" s="14">
        <f t="shared" si="35"/>
        <v>-2.0000000000000018E-3</v>
      </c>
      <c r="I442" s="14">
        <f t="shared" si="36"/>
        <v>9.8039215686274161E-3</v>
      </c>
      <c r="J442" s="14">
        <f t="shared" si="37"/>
        <v>1.6891891891892552E-3</v>
      </c>
      <c r="K442" s="14">
        <f t="shared" si="38"/>
        <v>1.9830028328611915E-2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5">
      <c r="A443" s="12">
        <v>44351</v>
      </c>
      <c r="B443" s="20">
        <v>16100</v>
      </c>
      <c r="C443" s="20">
        <v>25000</v>
      </c>
      <c r="D443" s="20">
        <v>10200</v>
      </c>
      <c r="E443" s="20">
        <v>29600</v>
      </c>
      <c r="F443" s="20">
        <v>17650</v>
      </c>
      <c r="G443" s="14">
        <f t="shared" si="34"/>
        <v>2.5477707006369421E-2</v>
      </c>
      <c r="H443" s="14">
        <f t="shared" si="35"/>
        <v>8.0645161290322509E-3</v>
      </c>
      <c r="I443" s="14">
        <f t="shared" si="36"/>
        <v>0</v>
      </c>
      <c r="J443" s="14">
        <f t="shared" si="37"/>
        <v>-3.3670033670033517E-3</v>
      </c>
      <c r="K443" s="14">
        <f t="shared" si="38"/>
        <v>-8.4269662921347965E-3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5">
      <c r="A444" s="12">
        <v>44350</v>
      </c>
      <c r="B444" s="20">
        <v>15700</v>
      </c>
      <c r="C444" s="20">
        <v>24800</v>
      </c>
      <c r="D444" s="20">
        <v>10200</v>
      </c>
      <c r="E444" s="20">
        <v>29700</v>
      </c>
      <c r="F444" s="20">
        <v>17800</v>
      </c>
      <c r="G444" s="14">
        <f t="shared" si="34"/>
        <v>6.4102564102563875E-3</v>
      </c>
      <c r="H444" s="14">
        <f t="shared" si="35"/>
        <v>0</v>
      </c>
      <c r="I444" s="14">
        <f t="shared" si="36"/>
        <v>-9.7087378640776656E-3</v>
      </c>
      <c r="J444" s="14">
        <f t="shared" si="37"/>
        <v>6.7796610169490457E-3</v>
      </c>
      <c r="K444" s="14">
        <f t="shared" si="38"/>
        <v>-8.3565459610027704E-3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35">
      <c r="A445" s="12">
        <v>44349</v>
      </c>
      <c r="B445" s="20">
        <v>15600</v>
      </c>
      <c r="C445" s="20">
        <v>24800</v>
      </c>
      <c r="D445" s="20">
        <v>10300</v>
      </c>
      <c r="E445" s="20">
        <v>29500</v>
      </c>
      <c r="F445" s="20">
        <v>17950</v>
      </c>
      <c r="G445" s="14">
        <f t="shared" si="34"/>
        <v>-4.2944785276073594E-2</v>
      </c>
      <c r="H445" s="14">
        <f t="shared" si="35"/>
        <v>-2.7450980392156876E-2</v>
      </c>
      <c r="I445" s="14">
        <f t="shared" si="36"/>
        <v>-9.6153846153845812E-3</v>
      </c>
      <c r="J445" s="14">
        <f t="shared" si="37"/>
        <v>-8.4033613445377853E-3</v>
      </c>
      <c r="K445" s="14">
        <f t="shared" si="38"/>
        <v>-5.0264550264550234E-2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35">
      <c r="A446" s="12">
        <v>44348</v>
      </c>
      <c r="B446" s="20">
        <v>16300</v>
      </c>
      <c r="C446" s="20">
        <v>25500</v>
      </c>
      <c r="D446" s="20">
        <v>10400</v>
      </c>
      <c r="E446" s="20">
        <v>29750</v>
      </c>
      <c r="F446" s="20">
        <v>18900</v>
      </c>
      <c r="G446" s="14">
        <f t="shared" si="34"/>
        <v>-5.7803468208092457E-2</v>
      </c>
      <c r="H446" s="14">
        <f t="shared" si="35"/>
        <v>-1.5444015444015413E-2</v>
      </c>
      <c r="I446" s="14">
        <f t="shared" si="36"/>
        <v>0</v>
      </c>
      <c r="J446" s="14">
        <f t="shared" si="37"/>
        <v>-1.490066225165565E-2</v>
      </c>
      <c r="K446" s="14">
        <f t="shared" si="38"/>
        <v>1.0695187165775444E-2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35">
      <c r="A447" s="12">
        <v>44347</v>
      </c>
      <c r="B447" s="20">
        <v>17300</v>
      </c>
      <c r="C447" s="20">
        <v>25900</v>
      </c>
      <c r="D447" s="20">
        <v>10400</v>
      </c>
      <c r="E447" s="20">
        <v>30200</v>
      </c>
      <c r="F447" s="20">
        <v>18700</v>
      </c>
      <c r="G447" s="14">
        <f t="shared" si="34"/>
        <v>-5.4644808743169349E-2</v>
      </c>
      <c r="H447" s="14">
        <f t="shared" si="35"/>
        <v>-7.6628352490420992E-3</v>
      </c>
      <c r="I447" s="14">
        <f t="shared" si="36"/>
        <v>-4.587155963302747E-2</v>
      </c>
      <c r="J447" s="14">
        <f t="shared" si="37"/>
        <v>3.3222591362125353E-3</v>
      </c>
      <c r="K447" s="14">
        <f t="shared" si="38"/>
        <v>6.8571428571428505E-2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35">
      <c r="A448" s="12">
        <v>44344</v>
      </c>
      <c r="B448" s="20">
        <v>18300</v>
      </c>
      <c r="C448" s="20">
        <v>26100</v>
      </c>
      <c r="D448" s="20">
        <v>10900</v>
      </c>
      <c r="E448" s="20">
        <v>30100</v>
      </c>
      <c r="F448" s="20">
        <v>17500</v>
      </c>
      <c r="G448" s="14">
        <f t="shared" si="34"/>
        <v>0</v>
      </c>
      <c r="H448" s="14">
        <f t="shared" si="35"/>
        <v>3.8461538461538325E-3</v>
      </c>
      <c r="I448" s="14">
        <f t="shared" si="36"/>
        <v>9.000000000000008E-2</v>
      </c>
      <c r="J448" s="14">
        <f t="shared" si="37"/>
        <v>1.0067114093959662E-2</v>
      </c>
      <c r="K448" s="14">
        <f t="shared" si="38"/>
        <v>6.7073170731707377E-2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35">
      <c r="A449" s="12">
        <v>44343</v>
      </c>
      <c r="B449" s="20">
        <v>18300</v>
      </c>
      <c r="C449" s="20">
        <v>26000</v>
      </c>
      <c r="D449" s="20">
        <v>10000</v>
      </c>
      <c r="E449" s="20">
        <v>29800</v>
      </c>
      <c r="F449" s="20">
        <v>16400</v>
      </c>
      <c r="G449" s="14">
        <f t="shared" si="34"/>
        <v>2.8089887640449396E-2</v>
      </c>
      <c r="H449" s="14">
        <f t="shared" si="35"/>
        <v>1.5625E-2</v>
      </c>
      <c r="I449" s="14">
        <f t="shared" si="36"/>
        <v>2.0408163265306145E-2</v>
      </c>
      <c r="J449" s="14">
        <f t="shared" si="37"/>
        <v>5.0590219224282418E-3</v>
      </c>
      <c r="K449" s="14">
        <f t="shared" si="38"/>
        <v>6.1349693251533388E-3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35">
      <c r="A450" s="12">
        <v>44342</v>
      </c>
      <c r="B450" s="20">
        <v>17800</v>
      </c>
      <c r="C450" s="20">
        <v>25600</v>
      </c>
      <c r="D450" s="20">
        <v>9800</v>
      </c>
      <c r="E450" s="20">
        <v>29650</v>
      </c>
      <c r="F450" s="20">
        <v>16300</v>
      </c>
      <c r="G450" s="14">
        <f t="shared" si="34"/>
        <v>-5.5865921787709993E-3</v>
      </c>
      <c r="H450" s="14">
        <f t="shared" si="35"/>
        <v>-1.9493177387914784E-3</v>
      </c>
      <c r="I450" s="14">
        <f t="shared" si="36"/>
        <v>0</v>
      </c>
      <c r="J450" s="14">
        <f t="shared" si="37"/>
        <v>-1.6835016835017313E-3</v>
      </c>
      <c r="K450" s="14">
        <f t="shared" si="38"/>
        <v>-6.0975609756097615E-3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5">
      <c r="A451" s="12">
        <v>44341</v>
      </c>
      <c r="B451" s="20">
        <v>17900</v>
      </c>
      <c r="C451" s="20">
        <v>25650</v>
      </c>
      <c r="D451" s="20">
        <v>9800</v>
      </c>
      <c r="E451" s="20">
        <v>29700</v>
      </c>
      <c r="F451" s="20">
        <v>16400</v>
      </c>
      <c r="G451" s="14">
        <f t="shared" si="34"/>
        <v>-5.5555555555555358E-3</v>
      </c>
      <c r="H451" s="14">
        <f t="shared" si="35"/>
        <v>0</v>
      </c>
      <c r="I451" s="14">
        <f t="shared" si="36"/>
        <v>0</v>
      </c>
      <c r="J451" s="14">
        <f t="shared" si="37"/>
        <v>-5.0251256281407253E-3</v>
      </c>
      <c r="K451" s="14">
        <f t="shared" si="38"/>
        <v>6.1349693251533388E-3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5">
      <c r="A452" s="12">
        <v>44340</v>
      </c>
      <c r="B452" s="20">
        <v>18000</v>
      </c>
      <c r="C452" s="20">
        <v>25650</v>
      </c>
      <c r="D452" s="20">
        <v>9800</v>
      </c>
      <c r="E452" s="20">
        <v>29850</v>
      </c>
      <c r="F452" s="20">
        <v>16300</v>
      </c>
      <c r="G452" s="14">
        <f t="shared" si="34"/>
        <v>1.1235955056179803E-2</v>
      </c>
      <c r="H452" s="14">
        <f t="shared" si="35"/>
        <v>0</v>
      </c>
      <c r="I452" s="14">
        <f t="shared" si="36"/>
        <v>-2.0000000000000018E-2</v>
      </c>
      <c r="J452" s="14">
        <f t="shared" si="37"/>
        <v>6.7453625632378778E-3</v>
      </c>
      <c r="K452" s="14">
        <f t="shared" si="38"/>
        <v>-1.2121212121212088E-2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5">
      <c r="A453" s="12">
        <v>44337</v>
      </c>
      <c r="B453" s="20">
        <v>17800</v>
      </c>
      <c r="C453" s="20">
        <v>25650</v>
      </c>
      <c r="D453" s="20">
        <v>10000</v>
      </c>
      <c r="E453" s="20">
        <v>29650</v>
      </c>
      <c r="F453" s="20">
        <v>16500</v>
      </c>
      <c r="G453" s="14">
        <f t="shared" ref="G453:G455" si="39">B453/B454-1</f>
        <v>-1.1111111111111072E-2</v>
      </c>
      <c r="H453" s="14">
        <f t="shared" ref="H453:H455" si="40">C453/C454-1</f>
        <v>-1.9455252918287869E-3</v>
      </c>
      <c r="I453" s="14">
        <f t="shared" ref="I453:I455" si="41">D453/D454-1</f>
        <v>0</v>
      </c>
      <c r="J453" s="14">
        <f t="shared" ref="J453:J455" si="42">E453/E454-1</f>
        <v>5.0847457627118953E-3</v>
      </c>
      <c r="K453" s="14">
        <f t="shared" ref="K453:K455" si="43">F453/F454-1</f>
        <v>-1.4925373134328401E-2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5">
      <c r="A454" s="12">
        <v>44336</v>
      </c>
      <c r="B454" s="20">
        <v>18000</v>
      </c>
      <c r="C454" s="20">
        <v>25700</v>
      </c>
      <c r="D454" s="20">
        <v>10000</v>
      </c>
      <c r="E454" s="20">
        <v>29500</v>
      </c>
      <c r="F454" s="20">
        <v>16750</v>
      </c>
      <c r="G454" s="14">
        <f t="shared" si="39"/>
        <v>0</v>
      </c>
      <c r="H454" s="14">
        <f t="shared" si="40"/>
        <v>-7.7220077220077066E-3</v>
      </c>
      <c r="I454" s="14">
        <f t="shared" si="41"/>
        <v>0</v>
      </c>
      <c r="J454" s="14">
        <f t="shared" si="42"/>
        <v>-2.1558872305140975E-2</v>
      </c>
      <c r="K454" s="14">
        <f t="shared" si="43"/>
        <v>9.0361445783131433E-3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5">
      <c r="A455" s="12">
        <v>44335</v>
      </c>
      <c r="B455" s="20">
        <v>18000</v>
      </c>
      <c r="C455" s="20">
        <v>25900</v>
      </c>
      <c r="D455" s="20">
        <v>10000</v>
      </c>
      <c r="E455" s="20">
        <v>30150</v>
      </c>
      <c r="F455" s="20">
        <v>16600</v>
      </c>
      <c r="G455" s="14">
        <f t="shared" si="39"/>
        <v>-2.1739130434782594E-2</v>
      </c>
      <c r="H455" s="14">
        <f t="shared" si="40"/>
        <v>-1.9267822736031004E-3</v>
      </c>
      <c r="I455" s="14">
        <f t="shared" si="41"/>
        <v>0</v>
      </c>
      <c r="J455" s="14">
        <f t="shared" si="42"/>
        <v>-8.2236842105263275E-3</v>
      </c>
      <c r="K455" s="14">
        <f t="shared" si="43"/>
        <v>0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5">
      <c r="A456" s="12">
        <v>44334</v>
      </c>
      <c r="B456" s="20">
        <v>18400</v>
      </c>
      <c r="C456" s="20">
        <v>25950</v>
      </c>
      <c r="D456" s="20">
        <v>10000</v>
      </c>
      <c r="E456" s="20">
        <v>30400</v>
      </c>
      <c r="F456" s="20">
        <v>16600</v>
      </c>
      <c r="G456" s="14"/>
      <c r="H456" s="14"/>
      <c r="I456" s="14"/>
      <c r="J456" s="14"/>
      <c r="K456" s="1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</sheetData>
  <mergeCells count="14">
    <mergeCell ref="Z2:AA2"/>
    <mergeCell ref="P24:Q24"/>
    <mergeCell ref="S24:V24"/>
    <mergeCell ref="S28:U28"/>
    <mergeCell ref="S29:U29"/>
    <mergeCell ref="B2:F2"/>
    <mergeCell ref="A2:A3"/>
    <mergeCell ref="S2:X3"/>
    <mergeCell ref="A1:K1"/>
    <mergeCell ref="M32:O32"/>
    <mergeCell ref="G2:K2"/>
    <mergeCell ref="M2:R2"/>
    <mergeCell ref="M24:O24"/>
    <mergeCell ref="M11:Y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Template</vt:lpstr>
      <vt:lpstr>Shortcut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Thao Vu</dc:creator>
  <cp:lastModifiedBy>trisvuthanh trisvuthanh</cp:lastModifiedBy>
  <dcterms:created xsi:type="dcterms:W3CDTF">2021-11-18T02:49:11Z</dcterms:created>
  <dcterms:modified xsi:type="dcterms:W3CDTF">2026-07-29T16:51:57Z</dcterms:modified>
</cp:coreProperties>
</file>